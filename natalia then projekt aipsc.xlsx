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athen/Desktop/"/>
    </mc:Choice>
  </mc:AlternateContent>
  <xr:revisionPtr revIDLastSave="0" documentId="13_ncr:1_{BA2FBD1E-8CEA-1D4F-9D53-92BD79739E5E}" xr6:coauthVersionLast="47" xr6:coauthVersionMax="47" xr10:uidLastSave="{00000000-0000-0000-0000-000000000000}"/>
  <bookViews>
    <workbookView xWindow="13320" yWindow="520" windowWidth="15380" windowHeight="15800" firstSheet="1" activeTab="1" xr2:uid="{CF251B37-B049-D940-80DC-D3B34146BE0B}"/>
  </bookViews>
  <sheets>
    <sheet name="dane1" sheetId="1" r:id="rId1"/>
    <sheet name="m. analityczny" sheetId="2" r:id="rId2"/>
    <sheet name="Raport wyników 1" sheetId="5" r:id="rId3"/>
    <sheet name="m. tredu pełzającego" sheetId="4" r:id="rId4"/>
    <sheet name="m. holta" sheetId="3" r:id="rId5"/>
    <sheet name="PORÓWNANIE" sheetId="11" r:id="rId6"/>
    <sheet name="dane2" sheetId="6" r:id="rId7"/>
    <sheet name="m. wskaźników" sheetId="7" r:id="rId8"/>
    <sheet name="m.wintersa" sheetId="9" r:id="rId9"/>
    <sheet name="model trendów jednoimiennych" sheetId="10" r:id="rId10"/>
    <sheet name="porównanie prognoz" sheetId="12" r:id="rId11"/>
  </sheets>
  <definedNames>
    <definedName name="solver_adj" localSheetId="4" hidden="1">'m. holta'!$F$30:$F$31</definedName>
    <definedName name="solver_adj" localSheetId="8" hidden="1">m.wintersa!$E$18:$E$20</definedName>
    <definedName name="solver_cvg" localSheetId="4" hidden="1">0.0001</definedName>
    <definedName name="solver_cvg" localSheetId="8" hidden="1">0.0001</definedName>
    <definedName name="solver_drv" localSheetId="4" hidden="1">1</definedName>
    <definedName name="solver_drv" localSheetId="8" hidden="1">1</definedName>
    <definedName name="solver_eng" localSheetId="4" hidden="1">1</definedName>
    <definedName name="solver_eng" localSheetId="8" hidden="1">1</definedName>
    <definedName name="solver_itr" localSheetId="4" hidden="1">2147483647</definedName>
    <definedName name="solver_itr" localSheetId="8" hidden="1">2147483647</definedName>
    <definedName name="solver_lhs1" localSheetId="4" hidden="1">'m. holta'!$F$30:$F$31</definedName>
    <definedName name="solver_lhs1" localSheetId="8" hidden="1">m.wintersa!$E$18:$E$20</definedName>
    <definedName name="solver_lhs2" localSheetId="4" hidden="1">'m. holta'!$F$30:$F$31</definedName>
    <definedName name="solver_lhs2" localSheetId="8" hidden="1">m.wintersa!$E$18:$E$20</definedName>
    <definedName name="solver_lin" localSheetId="4" hidden="1">2</definedName>
    <definedName name="solver_lin" localSheetId="8" hidden="1">2</definedName>
    <definedName name="solver_mip" localSheetId="4" hidden="1">2147483647</definedName>
    <definedName name="solver_mip" localSheetId="8" hidden="1">2147483647</definedName>
    <definedName name="solver_mni" localSheetId="4" hidden="1">30</definedName>
    <definedName name="solver_mni" localSheetId="8" hidden="1">30</definedName>
    <definedName name="solver_mrt" localSheetId="4" hidden="1">0.075</definedName>
    <definedName name="solver_mrt" localSheetId="8" hidden="1">0.075</definedName>
    <definedName name="solver_msl" localSheetId="4" hidden="1">2</definedName>
    <definedName name="solver_msl" localSheetId="8" hidden="1">2</definedName>
    <definedName name="solver_neg" localSheetId="4" hidden="1">2</definedName>
    <definedName name="solver_neg" localSheetId="8" hidden="1">1</definedName>
    <definedName name="solver_nod" localSheetId="4" hidden="1">2147483647</definedName>
    <definedName name="solver_nod" localSheetId="8" hidden="1">2147483647</definedName>
    <definedName name="solver_num" localSheetId="4" hidden="1">2</definedName>
    <definedName name="solver_num" localSheetId="8" hidden="1">2</definedName>
    <definedName name="solver_opt" localSheetId="4" hidden="1">'m. holta'!$F$29</definedName>
    <definedName name="solver_opt" localSheetId="8" hidden="1">m.wintersa!$E$17</definedName>
    <definedName name="solver_pre" localSheetId="4" hidden="1">0.000001</definedName>
    <definedName name="solver_pre" localSheetId="8" hidden="1">0.000001</definedName>
    <definedName name="solver_rbv" localSheetId="4" hidden="1">1</definedName>
    <definedName name="solver_rbv" localSheetId="8" hidden="1">1</definedName>
    <definedName name="solver_rel1" localSheetId="4" hidden="1">1</definedName>
    <definedName name="solver_rel1" localSheetId="8" hidden="1">1</definedName>
    <definedName name="solver_rel2" localSheetId="4" hidden="1">3</definedName>
    <definedName name="solver_rel2" localSheetId="8" hidden="1">3</definedName>
    <definedName name="solver_rhs1" localSheetId="4" hidden="1">1</definedName>
    <definedName name="solver_rhs1" localSheetId="8" hidden="1">1</definedName>
    <definedName name="solver_rhs2" localSheetId="4" hidden="1">0</definedName>
    <definedName name="solver_rhs2" localSheetId="8" hidden="1">0</definedName>
    <definedName name="solver_rlx" localSheetId="4" hidden="1">1</definedName>
    <definedName name="solver_rlx" localSheetId="8" hidden="1">2</definedName>
    <definedName name="solver_rsd" localSheetId="4" hidden="1">0</definedName>
    <definedName name="solver_rsd" localSheetId="8" hidden="1">0</definedName>
    <definedName name="solver_scl" localSheetId="4" hidden="1">2</definedName>
    <definedName name="solver_scl" localSheetId="8" hidden="1">1</definedName>
    <definedName name="solver_sho" localSheetId="4" hidden="1">2</definedName>
    <definedName name="solver_sho" localSheetId="8" hidden="1">2</definedName>
    <definedName name="solver_ssz" localSheetId="4" hidden="1">100</definedName>
    <definedName name="solver_ssz" localSheetId="8" hidden="1">100</definedName>
    <definedName name="solver_tim" localSheetId="4" hidden="1">2147483647</definedName>
    <definedName name="solver_tim" localSheetId="8" hidden="1">2147483647</definedName>
    <definedName name="solver_tol" localSheetId="4" hidden="1">0.01</definedName>
    <definedName name="solver_tol" localSheetId="8" hidden="1">0.01</definedName>
    <definedName name="solver_typ" localSheetId="4" hidden="1">2</definedName>
    <definedName name="solver_typ" localSheetId="8" hidden="1">2</definedName>
    <definedName name="solver_val" localSheetId="4" hidden="1">0</definedName>
    <definedName name="solver_val" localSheetId="8" hidden="1">0</definedName>
    <definedName name="solver_ver" localSheetId="4" hidden="1">2</definedName>
    <definedName name="solver_ver" localSheetId="8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7" l="1"/>
  <c r="H16" i="7"/>
  <c r="H15" i="7"/>
  <c r="I14" i="7"/>
  <c r="I15" i="7"/>
  <c r="I13" i="7"/>
  <c r="M5" i="7"/>
  <c r="M6" i="7"/>
  <c r="M7" i="7"/>
  <c r="M8" i="7"/>
  <c r="M9" i="7"/>
  <c r="M16" i="7" s="1"/>
  <c r="M10" i="7"/>
  <c r="M11" i="7"/>
  <c r="M12" i="7"/>
  <c r="M13" i="7"/>
  <c r="M14" i="7"/>
  <c r="M15" i="7"/>
  <c r="N5" i="7"/>
  <c r="N6" i="7"/>
  <c r="N7" i="7"/>
  <c r="N8" i="7"/>
  <c r="N9" i="7"/>
  <c r="N10" i="7"/>
  <c r="N11" i="7"/>
  <c r="N12" i="7"/>
  <c r="N13" i="7"/>
  <c r="N14" i="7"/>
  <c r="N15" i="7"/>
  <c r="N4" i="7"/>
  <c r="M4" i="7"/>
  <c r="L5" i="7"/>
  <c r="L6" i="7"/>
  <c r="L7" i="7"/>
  <c r="L16" i="7" s="1"/>
  <c r="L8" i="7"/>
  <c r="L9" i="7"/>
  <c r="L10" i="7"/>
  <c r="L11" i="7"/>
  <c r="L12" i="7"/>
  <c r="L13" i="7"/>
  <c r="L14" i="7"/>
  <c r="L15" i="7"/>
  <c r="L4" i="7"/>
  <c r="K5" i="7"/>
  <c r="K6" i="7"/>
  <c r="K7" i="7"/>
  <c r="K8" i="7"/>
  <c r="K9" i="7"/>
  <c r="K10" i="7"/>
  <c r="K11" i="7"/>
  <c r="K12" i="7"/>
  <c r="K13" i="7"/>
  <c r="K14" i="7"/>
  <c r="K15" i="7"/>
  <c r="K4" i="7"/>
  <c r="J21" i="7"/>
  <c r="J20" i="7"/>
  <c r="J19" i="7"/>
  <c r="H13" i="7"/>
  <c r="E14" i="10"/>
  <c r="F14" i="10"/>
  <c r="G14" i="10"/>
  <c r="D14" i="10"/>
  <c r="G2" i="10"/>
  <c r="G3" i="10"/>
  <c r="G4" i="10"/>
  <c r="G5" i="10"/>
  <c r="G6" i="10"/>
  <c r="G7" i="10"/>
  <c r="G8" i="10"/>
  <c r="G9" i="10"/>
  <c r="G10" i="10"/>
  <c r="G11" i="10"/>
  <c r="G12" i="10"/>
  <c r="G13" i="10"/>
  <c r="F3" i="10"/>
  <c r="F4" i="10"/>
  <c r="F5" i="10"/>
  <c r="F6" i="10"/>
  <c r="F7" i="10"/>
  <c r="F8" i="10"/>
  <c r="F9" i="10"/>
  <c r="F10" i="10"/>
  <c r="F11" i="10"/>
  <c r="F12" i="10"/>
  <c r="F13" i="10"/>
  <c r="E3" i="10"/>
  <c r="E4" i="10"/>
  <c r="E5" i="10"/>
  <c r="E6" i="10"/>
  <c r="E7" i="10"/>
  <c r="E8" i="10"/>
  <c r="E9" i="10"/>
  <c r="E10" i="10"/>
  <c r="E11" i="10"/>
  <c r="E12" i="10"/>
  <c r="E13" i="10"/>
  <c r="D3" i="10"/>
  <c r="D4" i="10"/>
  <c r="D5" i="10"/>
  <c r="D6" i="10"/>
  <c r="D7" i="10"/>
  <c r="D8" i="10"/>
  <c r="D9" i="10"/>
  <c r="D10" i="10"/>
  <c r="D11" i="10"/>
  <c r="D12" i="10"/>
  <c r="D13" i="10"/>
  <c r="D2" i="10"/>
  <c r="F2" i="10"/>
  <c r="E2" i="10"/>
  <c r="C13" i="10"/>
  <c r="C11" i="10"/>
  <c r="C12" i="10"/>
  <c r="C10" i="10"/>
  <c r="C9" i="10"/>
  <c r="C7" i="10"/>
  <c r="C8" i="10"/>
  <c r="C6" i="10"/>
  <c r="C5" i="10"/>
  <c r="C3" i="10"/>
  <c r="C4" i="10"/>
  <c r="C2" i="10"/>
  <c r="K10" i="9"/>
  <c r="L10" i="9"/>
  <c r="M10" i="9"/>
  <c r="J10" i="9"/>
  <c r="M4" i="9"/>
  <c r="M5" i="9"/>
  <c r="M6" i="9"/>
  <c r="M7" i="9"/>
  <c r="M8" i="9"/>
  <c r="M9" i="9"/>
  <c r="L4" i="9"/>
  <c r="L5" i="9"/>
  <c r="L6" i="9"/>
  <c r="L7" i="9"/>
  <c r="L8" i="9"/>
  <c r="L9" i="9"/>
  <c r="K4" i="9"/>
  <c r="K5" i="9"/>
  <c r="K6" i="9"/>
  <c r="K7" i="9"/>
  <c r="K8" i="9"/>
  <c r="K9" i="9"/>
  <c r="J4" i="9"/>
  <c r="J5" i="9"/>
  <c r="J6" i="9"/>
  <c r="J7" i="9"/>
  <c r="J8" i="9"/>
  <c r="J9" i="9"/>
  <c r="M3" i="9"/>
  <c r="L3" i="9"/>
  <c r="K3" i="9"/>
  <c r="J3" i="9"/>
  <c r="C26" i="4"/>
  <c r="C27" i="4"/>
  <c r="C25" i="4"/>
  <c r="AB23" i="4"/>
  <c r="AC22" i="4"/>
  <c r="AD22" i="4"/>
  <c r="AE22" i="4"/>
  <c r="AF22" i="4"/>
  <c r="AB22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3" i="4"/>
  <c r="AE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3" i="4"/>
  <c r="C14" i="2"/>
  <c r="J14" i="2" s="1"/>
  <c r="O8" i="2"/>
  <c r="O9" i="2" s="1"/>
  <c r="O7" i="2"/>
  <c r="O2" i="2"/>
  <c r="Q16" i="2"/>
  <c r="T16" i="2" s="1"/>
  <c r="N16" i="7" l="1"/>
  <c r="K16" i="7"/>
  <c r="I14" i="2"/>
  <c r="K14" i="2"/>
  <c r="L14" i="2"/>
  <c r="D6" i="3" l="1"/>
  <c r="D5" i="3"/>
  <c r="H14" i="2"/>
  <c r="D14" i="2" s="1"/>
  <c r="D15" i="2"/>
  <c r="D17" i="2"/>
  <c r="D19" i="2"/>
  <c r="D21" i="2"/>
  <c r="D23" i="2"/>
  <c r="D25" i="2"/>
  <c r="D27" i="2"/>
  <c r="D29" i="2"/>
  <c r="N16" i="2"/>
  <c r="D31" i="2"/>
  <c r="D33" i="2"/>
  <c r="D32" i="2" l="1"/>
  <c r="D30" i="2"/>
  <c r="D28" i="2"/>
  <c r="D26" i="2"/>
  <c r="D24" i="2"/>
  <c r="D22" i="2"/>
  <c r="D20" i="2"/>
  <c r="D18" i="2"/>
  <c r="D16" i="2"/>
  <c r="D34" i="2" s="1"/>
  <c r="F36" i="3"/>
  <c r="F35" i="3"/>
  <c r="F34" i="3"/>
  <c r="F6" i="3"/>
  <c r="E22" i="9" l="1"/>
  <c r="E23" i="9" s="1"/>
  <c r="E21" i="9"/>
  <c r="C2" i="6" l="1"/>
  <c r="L29" i="10"/>
  <c r="L28" i="10"/>
  <c r="L27" i="10"/>
  <c r="M27" i="10" s="1" a="1"/>
  <c r="M27" i="10" s="1"/>
  <c r="J27" i="10" a="1"/>
  <c r="J27" i="10" s="1"/>
  <c r="I29" i="10"/>
  <c r="I28" i="10"/>
  <c r="I27" i="10"/>
  <c r="F29" i="10"/>
  <c r="F28" i="10"/>
  <c r="F27" i="10"/>
  <c r="G27" i="10" s="1" a="1"/>
  <c r="G27" i="10" s="1"/>
  <c r="D27" i="10" a="1"/>
  <c r="D27" i="10" s="1"/>
  <c r="C29" i="10"/>
  <c r="C28" i="10"/>
  <c r="C27" i="10"/>
  <c r="B30" i="10"/>
  <c r="B27" i="10" s="1"/>
  <c r="F7" i="9"/>
  <c r="G6" i="9"/>
  <c r="G4" i="9"/>
  <c r="H8" i="9" s="1"/>
  <c r="I8" i="9" s="1"/>
  <c r="G5" i="9"/>
  <c r="G3" i="9"/>
  <c r="G7" i="9" s="1"/>
  <c r="E7" i="9"/>
  <c r="E8" i="9" l="1"/>
  <c r="G8" i="9" s="1"/>
  <c r="C20" i="10"/>
  <c r="B26" i="10"/>
  <c r="B28" i="10"/>
  <c r="F8" i="9"/>
  <c r="E9" i="9" s="1"/>
  <c r="F22" i="10"/>
  <c r="H22" i="10" s="1"/>
  <c r="E22" i="10"/>
  <c r="D22" i="10"/>
  <c r="C22" i="10"/>
  <c r="G22" i="10" s="1"/>
  <c r="D23" i="10"/>
  <c r="F23" i="10"/>
  <c r="H23" i="10" s="1"/>
  <c r="E23" i="10"/>
  <c r="C23" i="10"/>
  <c r="D20" i="10"/>
  <c r="E21" i="10"/>
  <c r="C21" i="10"/>
  <c r="D21" i="10"/>
  <c r="E20" i="10"/>
  <c r="F21" i="10"/>
  <c r="H21" i="10" s="1"/>
  <c r="F20" i="10"/>
  <c r="H20" i="10" s="1"/>
  <c r="G20" i="10" l="1"/>
  <c r="F9" i="9"/>
  <c r="G9" i="9"/>
  <c r="E10" i="9"/>
  <c r="G21" i="10"/>
  <c r="H9" i="9"/>
  <c r="G23" i="10"/>
  <c r="I23" i="10" s="1"/>
  <c r="I21" i="10"/>
  <c r="I22" i="10"/>
  <c r="I20" i="10"/>
  <c r="I9" i="9" l="1"/>
  <c r="H10" i="9"/>
  <c r="I10" i="9" s="1"/>
  <c r="F10" i="9"/>
  <c r="E11" i="9" s="1"/>
  <c r="G10" i="9" l="1"/>
  <c r="H11" i="9"/>
  <c r="I11" i="9" s="1"/>
  <c r="F11" i="9" l="1"/>
  <c r="E12" i="9" l="1"/>
  <c r="H12" i="9"/>
  <c r="G11" i="9"/>
  <c r="G12" i="9" l="1"/>
  <c r="F12" i="9"/>
  <c r="E13" i="9" s="1"/>
  <c r="I12" i="9"/>
  <c r="H13" i="9" l="1"/>
  <c r="I13" i="9" s="1"/>
  <c r="G13" i="9"/>
  <c r="F13" i="9"/>
  <c r="E14" i="9" s="1"/>
  <c r="H14" i="9" l="1"/>
  <c r="I14" i="9" s="1"/>
  <c r="I15" i="9" s="1"/>
  <c r="G14" i="9"/>
  <c r="F14" i="9"/>
  <c r="H16" i="9" s="1"/>
  <c r="E17" i="9" l="1"/>
  <c r="E16" i="9"/>
  <c r="H18" i="9"/>
  <c r="H17" i="9"/>
  <c r="H15" i="9"/>
  <c r="H4" i="7" a="1"/>
  <c r="H4" i="7" s="1"/>
  <c r="C3" i="6"/>
  <c r="C5" i="6"/>
  <c r="C4" i="6"/>
  <c r="C13" i="6"/>
  <c r="C12" i="6"/>
  <c r="C7" i="6"/>
  <c r="C6" i="6"/>
  <c r="C11" i="6"/>
  <c r="C10" i="6"/>
  <c r="C9" i="6"/>
  <c r="C8" i="6"/>
  <c r="B20" i="9" l="1"/>
  <c r="B19" i="9"/>
  <c r="B18" i="9"/>
  <c r="B17" i="9"/>
  <c r="D4" i="7"/>
  <c r="D10" i="7"/>
  <c r="E10" i="7" s="1"/>
  <c r="D15" i="7"/>
  <c r="E15" i="7" s="1"/>
  <c r="D14" i="7"/>
  <c r="D9" i="7"/>
  <c r="D13" i="7"/>
  <c r="D12" i="7"/>
  <c r="F12" i="7" s="1"/>
  <c r="D8" i="7"/>
  <c r="D11" i="7"/>
  <c r="D6" i="7"/>
  <c r="D5" i="7"/>
  <c r="F5" i="7" s="1"/>
  <c r="D7" i="7"/>
  <c r="F7" i="7" s="1"/>
  <c r="E7" i="7"/>
  <c r="F10" i="7" l="1"/>
  <c r="F15" i="7"/>
  <c r="F4" i="7"/>
  <c r="E4" i="7"/>
  <c r="B21" i="7"/>
  <c r="F13" i="7"/>
  <c r="E13" i="7"/>
  <c r="E6" i="7"/>
  <c r="B24" i="7" s="1"/>
  <c r="F6" i="7"/>
  <c r="E12" i="7"/>
  <c r="E11" i="7"/>
  <c r="F11" i="7"/>
  <c r="E9" i="7"/>
  <c r="F9" i="7"/>
  <c r="E5" i="7"/>
  <c r="B23" i="7" s="1"/>
  <c r="H14" i="7" s="1"/>
  <c r="E8" i="7"/>
  <c r="F8" i="7"/>
  <c r="F14" i="7"/>
  <c r="E14" i="7"/>
  <c r="E5" i="3"/>
  <c r="B22" i="7" l="1"/>
  <c r="F16" i="7"/>
  <c r="H18" i="7" s="1"/>
  <c r="E6" i="3" l="1"/>
  <c r="F7" i="3" s="1"/>
  <c r="B25" i="7"/>
  <c r="B26" i="7" s="1"/>
  <c r="B27" i="7" s="1"/>
  <c r="B28" i="7" s="1"/>
  <c r="B29" i="7" s="1"/>
  <c r="G7" i="3" l="1"/>
  <c r="H5" i="3"/>
  <c r="K5" i="3"/>
  <c r="J5" i="3"/>
  <c r="I5" i="3"/>
  <c r="D7" i="3"/>
  <c r="E7" i="3" s="1"/>
  <c r="F8" i="3" l="1"/>
  <c r="D8" i="3"/>
  <c r="G8" i="3" l="1"/>
  <c r="K6" i="3"/>
  <c r="H6" i="3"/>
  <c r="J6" i="3"/>
  <c r="I6" i="3"/>
  <c r="E8" i="3"/>
  <c r="F9" i="3" s="1"/>
  <c r="G9" i="3" l="1"/>
  <c r="K7" i="3"/>
  <c r="H7" i="3"/>
  <c r="J7" i="3"/>
  <c r="I7" i="3"/>
  <c r="D9" i="3"/>
  <c r="E9" i="3" l="1"/>
  <c r="F10" i="3" s="1"/>
  <c r="G10" i="3" l="1"/>
  <c r="K8" i="3"/>
  <c r="H8" i="3"/>
  <c r="J8" i="3"/>
  <c r="I8" i="3"/>
  <c r="D10" i="3"/>
  <c r="E10" i="3" l="1"/>
  <c r="D11" i="3" s="1"/>
  <c r="F11" i="3" l="1"/>
  <c r="E11" i="3"/>
  <c r="D12" i="3" s="1"/>
  <c r="G11" i="3" l="1"/>
  <c r="K9" i="3"/>
  <c r="H9" i="3"/>
  <c r="J9" i="3"/>
  <c r="I9" i="3"/>
  <c r="F12" i="3"/>
  <c r="E12" i="3"/>
  <c r="F13" i="3" s="1"/>
  <c r="G12" i="3" l="1"/>
  <c r="I10" i="3"/>
  <c r="K10" i="3"/>
  <c r="H10" i="3"/>
  <c r="J10" i="3"/>
  <c r="G13" i="3"/>
  <c r="I11" i="3"/>
  <c r="K11" i="3"/>
  <c r="H11" i="3"/>
  <c r="J11" i="3"/>
  <c r="D13" i="3"/>
  <c r="E13" i="3" l="1"/>
  <c r="F14" i="3" s="1"/>
  <c r="G14" i="3" l="1"/>
  <c r="J12" i="3"/>
  <c r="I12" i="3"/>
  <c r="K12" i="3"/>
  <c r="H12" i="3"/>
  <c r="D14" i="3"/>
  <c r="E14" i="3" s="1"/>
  <c r="K4" i="2" a="1"/>
  <c r="K4" i="2" s="1"/>
  <c r="C34" i="2" s="1"/>
  <c r="F15" i="3" l="1"/>
  <c r="D15" i="3"/>
  <c r="C35" i="2"/>
  <c r="C26" i="2"/>
  <c r="C36" i="2"/>
  <c r="C32" i="2"/>
  <c r="C31" i="2"/>
  <c r="C33" i="2"/>
  <c r="C29" i="2"/>
  <c r="C30" i="2"/>
  <c r="K30" i="2" l="1"/>
  <c r="J30" i="2"/>
  <c r="L30" i="2"/>
  <c r="I30" i="2"/>
  <c r="K33" i="2"/>
  <c r="L33" i="2"/>
  <c r="I33" i="2"/>
  <c r="J33" i="2"/>
  <c r="L31" i="2"/>
  <c r="I31" i="2"/>
  <c r="J31" i="2"/>
  <c r="K31" i="2"/>
  <c r="K32" i="2"/>
  <c r="L32" i="2"/>
  <c r="I32" i="2"/>
  <c r="J32" i="2"/>
  <c r="J26" i="2"/>
  <c r="K26" i="2"/>
  <c r="L26" i="2"/>
  <c r="I26" i="2"/>
  <c r="J29" i="2"/>
  <c r="K29" i="2"/>
  <c r="L29" i="2"/>
  <c r="I29" i="2"/>
  <c r="G15" i="3"/>
  <c r="J13" i="3"/>
  <c r="I13" i="3"/>
  <c r="K13" i="3"/>
  <c r="H13" i="3"/>
  <c r="F31" i="2"/>
  <c r="G31" i="2"/>
  <c r="E31" i="2"/>
  <c r="E32" i="2"/>
  <c r="F32" i="2"/>
  <c r="G32" i="2"/>
  <c r="E14" i="2"/>
  <c r="F14" i="2"/>
  <c r="G14" i="2"/>
  <c r="E26" i="2"/>
  <c r="F26" i="2"/>
  <c r="G26" i="2"/>
  <c r="E30" i="2"/>
  <c r="F30" i="2"/>
  <c r="G30" i="2"/>
  <c r="F29" i="2"/>
  <c r="G29" i="2"/>
  <c r="E29" i="2"/>
  <c r="G33" i="2"/>
  <c r="E33" i="2"/>
  <c r="F33" i="2"/>
  <c r="E15" i="3"/>
  <c r="D16" i="3" s="1"/>
  <c r="C22" i="2"/>
  <c r="C21" i="2"/>
  <c r="C17" i="2"/>
  <c r="C20" i="2"/>
  <c r="C28" i="2"/>
  <c r="C24" i="2"/>
  <c r="C27" i="2"/>
  <c r="C23" i="2"/>
  <c r="C16" i="2"/>
  <c r="C19" i="2"/>
  <c r="C15" i="2"/>
  <c r="C25" i="2"/>
  <c r="C18" i="2"/>
  <c r="L15" i="2" l="1"/>
  <c r="I15" i="2"/>
  <c r="J15" i="2"/>
  <c r="K15" i="2"/>
  <c r="K17" i="2"/>
  <c r="L17" i="2"/>
  <c r="I17" i="2"/>
  <c r="J17" i="2"/>
  <c r="J19" i="2"/>
  <c r="K19" i="2"/>
  <c r="I19" i="2"/>
  <c r="L19" i="2"/>
  <c r="J21" i="2"/>
  <c r="K21" i="2"/>
  <c r="L21" i="2"/>
  <c r="I21" i="2"/>
  <c r="K16" i="2"/>
  <c r="L16" i="2"/>
  <c r="I16" i="2"/>
  <c r="J16" i="2"/>
  <c r="L22" i="2"/>
  <c r="K22" i="2"/>
  <c r="J22" i="2"/>
  <c r="I22" i="2"/>
  <c r="L23" i="2"/>
  <c r="I23" i="2"/>
  <c r="J23" i="2"/>
  <c r="K23" i="2"/>
  <c r="J27" i="2"/>
  <c r="K27" i="2"/>
  <c r="I27" i="2"/>
  <c r="L27" i="2"/>
  <c r="K24" i="2"/>
  <c r="L24" i="2"/>
  <c r="I24" i="2"/>
  <c r="J24" i="2"/>
  <c r="J18" i="2"/>
  <c r="K18" i="2"/>
  <c r="L18" i="2"/>
  <c r="I18" i="2"/>
  <c r="J28" i="2"/>
  <c r="L28" i="2"/>
  <c r="K28" i="2"/>
  <c r="I28" i="2"/>
  <c r="K25" i="2"/>
  <c r="L25" i="2"/>
  <c r="I25" i="2"/>
  <c r="J25" i="2"/>
  <c r="J20" i="2"/>
  <c r="L20" i="2"/>
  <c r="K20" i="2"/>
  <c r="I20" i="2"/>
  <c r="G22" i="2"/>
  <c r="E22" i="2"/>
  <c r="F22" i="2"/>
  <c r="E27" i="2"/>
  <c r="F27" i="2"/>
  <c r="G27" i="2"/>
  <c r="E18" i="2"/>
  <c r="F18" i="2"/>
  <c r="G18" i="2"/>
  <c r="E24" i="2"/>
  <c r="G24" i="2"/>
  <c r="F24" i="2"/>
  <c r="E25" i="2"/>
  <c r="F25" i="2"/>
  <c r="G25" i="2"/>
  <c r="F20" i="2"/>
  <c r="G20" i="2"/>
  <c r="E20" i="2"/>
  <c r="G15" i="2"/>
  <c r="E15" i="2"/>
  <c r="F15" i="2"/>
  <c r="G17" i="2"/>
  <c r="F17" i="2"/>
  <c r="E17" i="2"/>
  <c r="E16" i="2"/>
  <c r="F16" i="2"/>
  <c r="G16" i="2"/>
  <c r="E23" i="2"/>
  <c r="F23" i="2"/>
  <c r="G23" i="2"/>
  <c r="E28" i="2"/>
  <c r="F28" i="2"/>
  <c r="G28" i="2"/>
  <c r="E19" i="2"/>
  <c r="F19" i="2"/>
  <c r="G19" i="2"/>
  <c r="E21" i="2"/>
  <c r="F21" i="2"/>
  <c r="G21" i="2"/>
  <c r="S16" i="2"/>
  <c r="R16" i="2"/>
  <c r="F16" i="3"/>
  <c r="E16" i="3"/>
  <c r="F17" i="3" s="1"/>
  <c r="Q18" i="2"/>
  <c r="T18" i="2" s="1"/>
  <c r="Q17" i="2"/>
  <c r="T17" i="2" s="1"/>
  <c r="I34" i="2" l="1"/>
  <c r="L34" i="2"/>
  <c r="K34" i="2"/>
  <c r="J34" i="2"/>
  <c r="G17" i="3"/>
  <c r="K15" i="3"/>
  <c r="J15" i="3"/>
  <c r="H15" i="3"/>
  <c r="I15" i="3"/>
  <c r="G16" i="3"/>
  <c r="K14" i="3"/>
  <c r="J14" i="3"/>
  <c r="H14" i="3"/>
  <c r="I14" i="3"/>
  <c r="F34" i="2"/>
  <c r="G34" i="2"/>
  <c r="E34" i="2"/>
  <c r="O3" i="2" s="1"/>
  <c r="R18" i="2"/>
  <c r="D17" i="3"/>
  <c r="S17" i="2"/>
  <c r="R17" i="2"/>
  <c r="S18" i="2"/>
  <c r="O5" i="2" l="1"/>
  <c r="O4" i="2"/>
  <c r="E17" i="3"/>
  <c r="Z9" i="4"/>
  <c r="Z8" i="4"/>
  <c r="Z7" i="4"/>
  <c r="Z6" i="4"/>
  <c r="Z5" i="4"/>
  <c r="Z4" i="4"/>
  <c r="Z19" i="4"/>
  <c r="Z17" i="4"/>
  <c r="Z13" i="4"/>
  <c r="Z22" i="4"/>
  <c r="Z20" i="4"/>
  <c r="Z21" i="4"/>
  <c r="Z18" i="4"/>
  <c r="Z16" i="4"/>
  <c r="Z15" i="4"/>
  <c r="Z14" i="4"/>
  <c r="Z11" i="4"/>
  <c r="Z12" i="4"/>
  <c r="Z10" i="4"/>
  <c r="O6" i="2" l="1"/>
  <c r="F18" i="3"/>
  <c r="D18" i="3"/>
  <c r="E18" i="3" s="1"/>
  <c r="Z23" i="4"/>
  <c r="G18" i="3" l="1"/>
  <c r="K16" i="3"/>
  <c r="J16" i="3"/>
  <c r="H16" i="3"/>
  <c r="I16" i="3"/>
  <c r="F19" i="3"/>
  <c r="D19" i="3"/>
  <c r="E20" i="4"/>
  <c r="E5" i="4"/>
  <c r="D3" i="4"/>
  <c r="E4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3" i="4"/>
  <c r="D20" i="4"/>
  <c r="D15" i="4"/>
  <c r="D16" i="4"/>
  <c r="D17" i="4"/>
  <c r="D18" i="4"/>
  <c r="D19" i="4"/>
  <c r="D4" i="4"/>
  <c r="D5" i="4"/>
  <c r="D6" i="4"/>
  <c r="D7" i="4"/>
  <c r="D8" i="4"/>
  <c r="D9" i="4"/>
  <c r="D10" i="4"/>
  <c r="D11" i="4"/>
  <c r="D12" i="4"/>
  <c r="O13" i="4" s="1"/>
  <c r="D13" i="4"/>
  <c r="D14" i="4"/>
  <c r="K8" i="4" l="1"/>
  <c r="L10" i="4"/>
  <c r="G19" i="3"/>
  <c r="K17" i="3"/>
  <c r="J17" i="3"/>
  <c r="H17" i="3"/>
  <c r="I17" i="3"/>
  <c r="W20" i="4"/>
  <c r="S18" i="4"/>
  <c r="R17" i="4"/>
  <c r="V21" i="4"/>
  <c r="S17" i="4"/>
  <c r="T19" i="4"/>
  <c r="U20" i="4"/>
  <c r="R16" i="4"/>
  <c r="U18" i="4"/>
  <c r="V20" i="4"/>
  <c r="S16" i="4"/>
  <c r="T18" i="4"/>
  <c r="V19" i="4"/>
  <c r="T17" i="4"/>
  <c r="U19" i="4"/>
  <c r="R15" i="4"/>
  <c r="W22" i="4"/>
  <c r="W21" i="4"/>
  <c r="M11" i="4"/>
  <c r="L9" i="4"/>
  <c r="Q14" i="4"/>
  <c r="G6" i="4"/>
  <c r="X6" i="4" s="1"/>
  <c r="G5" i="4"/>
  <c r="G4" i="4"/>
  <c r="N11" i="4"/>
  <c r="L11" i="4"/>
  <c r="P14" i="4"/>
  <c r="H5" i="4"/>
  <c r="F4" i="4"/>
  <c r="F5" i="4"/>
  <c r="E19" i="3"/>
  <c r="F20" i="3" s="1"/>
  <c r="Q15" i="4"/>
  <c r="P13" i="4"/>
  <c r="K9" i="4"/>
  <c r="H7" i="4"/>
  <c r="X22" i="4"/>
  <c r="M12" i="4"/>
  <c r="J9" i="4"/>
  <c r="I8" i="4"/>
  <c r="P15" i="4"/>
  <c r="N13" i="4"/>
  <c r="X13" i="4" s="1"/>
  <c r="N12" i="4"/>
  <c r="X11" i="4"/>
  <c r="K10" i="4"/>
  <c r="X15" i="4"/>
  <c r="H6" i="4"/>
  <c r="F3" i="4"/>
  <c r="X3" i="4" s="1"/>
  <c r="O14" i="4"/>
  <c r="Q16" i="4"/>
  <c r="I6" i="4"/>
  <c r="J7" i="4"/>
  <c r="M10" i="4"/>
  <c r="X21" i="4"/>
  <c r="I7" i="4"/>
  <c r="J8" i="4"/>
  <c r="O12" i="4"/>
  <c r="D20" i="3" l="1"/>
  <c r="E20" i="3" s="1"/>
  <c r="D21" i="3" s="1"/>
  <c r="E21" i="3" s="1"/>
  <c r="D22" i="3" s="1"/>
  <c r="X4" i="4"/>
  <c r="X9" i="4"/>
  <c r="G20" i="3"/>
  <c r="I18" i="3"/>
  <c r="K18" i="3"/>
  <c r="J18" i="3"/>
  <c r="H18" i="3"/>
  <c r="X12" i="4"/>
  <c r="Y13" i="4" s="1"/>
  <c r="AA13" i="4" s="1"/>
  <c r="X7" i="4"/>
  <c r="X18" i="4"/>
  <c r="X19" i="4"/>
  <c r="X14" i="4"/>
  <c r="Y15" i="4" s="1"/>
  <c r="AA15" i="4" s="1"/>
  <c r="Y22" i="4"/>
  <c r="AA22" i="4" s="1"/>
  <c r="Y12" i="4"/>
  <c r="AA12" i="4" s="1"/>
  <c r="Y4" i="4"/>
  <c r="AA4" i="4" s="1"/>
  <c r="X8" i="4"/>
  <c r="Y8" i="4" s="1"/>
  <c r="AA8" i="4" s="1"/>
  <c r="Y7" i="4"/>
  <c r="AA7" i="4" s="1"/>
  <c r="X5" i="4"/>
  <c r="Y5" i="4" s="1"/>
  <c r="AA5" i="4" s="1"/>
  <c r="Y6" i="4"/>
  <c r="AA6" i="4" s="1"/>
  <c r="X20" i="4"/>
  <c r="X10" i="4"/>
  <c r="Y10" i="4" s="1"/>
  <c r="AA10" i="4" s="1"/>
  <c r="X16" i="4"/>
  <c r="Y16" i="4" s="1"/>
  <c r="AA16" i="4" s="1"/>
  <c r="X17" i="4"/>
  <c r="F21" i="3" l="1"/>
  <c r="I19" i="3" s="1"/>
  <c r="Y17" i="4"/>
  <c r="AA17" i="4" s="1"/>
  <c r="G21" i="3"/>
  <c r="Y14" i="4"/>
  <c r="AA14" i="4" s="1"/>
  <c r="Y20" i="4"/>
  <c r="AA20" i="4" s="1"/>
  <c r="F22" i="3"/>
  <c r="E22" i="3"/>
  <c r="D23" i="3" s="1"/>
  <c r="Y18" i="4"/>
  <c r="AA18" i="4" s="1"/>
  <c r="Y11" i="4"/>
  <c r="AA11" i="4" s="1"/>
  <c r="Y19" i="4"/>
  <c r="AA19" i="4" s="1"/>
  <c r="Y9" i="4"/>
  <c r="AA9" i="4" s="1"/>
  <c r="Y21" i="4"/>
  <c r="AA21" i="4" s="1"/>
  <c r="H19" i="3" l="1"/>
  <c r="J19" i="3"/>
  <c r="K19" i="3"/>
  <c r="G22" i="3"/>
  <c r="J20" i="3"/>
  <c r="H20" i="3"/>
  <c r="I20" i="3"/>
  <c r="K20" i="3"/>
  <c r="F23" i="3"/>
  <c r="E23" i="3"/>
  <c r="D24" i="3" s="1"/>
  <c r="AA23" i="4"/>
  <c r="B27" i="4" s="1"/>
  <c r="E7" i="1"/>
  <c r="E6" i="1"/>
  <c r="E5" i="1"/>
  <c r="E4" i="1"/>
  <c r="E3" i="1"/>
  <c r="E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F24" i="3" l="1"/>
  <c r="K22" i="3" s="1"/>
  <c r="G23" i="3"/>
  <c r="J21" i="3"/>
  <c r="H21" i="3"/>
  <c r="I21" i="3"/>
  <c r="K21" i="3"/>
  <c r="E24" i="3"/>
  <c r="F27" i="3" s="1"/>
  <c r="B26" i="4"/>
  <c r="B25" i="4"/>
  <c r="J22" i="3" l="1"/>
  <c r="G24" i="3"/>
  <c r="G25" i="3" s="1"/>
  <c r="F29" i="3" s="1"/>
  <c r="H22" i="3"/>
  <c r="H23" i="3" s="1"/>
  <c r="H24" i="3" s="1"/>
  <c r="I22" i="3"/>
  <c r="I23" i="3"/>
  <c r="I24" i="3" s="1"/>
  <c r="F26" i="3"/>
  <c r="J23" i="3"/>
  <c r="J24" i="3" s="1"/>
  <c r="K23" i="3"/>
  <c r="K24" i="3" s="1"/>
  <c r="F25" i="3"/>
  <c r="C30" i="3" l="1"/>
  <c r="C31" i="3"/>
  <c r="C32" i="3"/>
  <c r="C33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<sst xmlns="http://schemas.openxmlformats.org/spreadsheetml/2006/main" count="422" uniqueCount="269">
  <si>
    <t>cena</t>
  </si>
  <si>
    <t xml:space="preserve">data 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</si>
  <si>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</si>
  <si>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</si>
  <si>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</si>
  <si>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</si>
  <si>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</si>
  <si>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</si>
  <si>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</si>
  <si>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</si>
  <si>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</si>
  <si>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</si>
  <si>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</si>
  <si>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</si>
  <si>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</si>
  <si>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</si>
  <si>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</si>
  <si>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</si>
  <si>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</si>
  <si>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</si>
  <si>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</si>
  <si>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</si>
  <si>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</si>
  <si>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</si>
  <si>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</si>
  <si>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</si>
  <si>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</si>
  <si>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</si>
  <si>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</si>
  <si>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</si>
  <si>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</si>
  <si>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</si>
  <si>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</si>
  <si>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</si>
  <si>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</si>
  <si>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</si>
  <si>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</si>
  <si>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</si>
  <si>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</si>
  <si>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</si>
  <si>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</si>
  <si>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</si>
  <si>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</si>
  <si>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</si>
  <si>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</si>
  <si>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</si>
  <si>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</si>
  <si>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</si>
  <si>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</si>
  <si>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</si>
  <si>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</si>
  <si>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</si>
  <si>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</si>
  <si>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</si>
  <si>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</si>
  <si>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</si>
  <si>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</si>
  <si>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</si>
  <si>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</si>
  <si>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</si>
  <si>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</si>
  <si>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</si>
  <si>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 xml:space="preserve">t-w kwartałąch </t>
  </si>
  <si>
    <t>kwartalna cena sprzedazy zlota w latah 2020-2024</t>
  </si>
  <si>
    <t>okres</t>
  </si>
  <si>
    <t>cena(w zł.)</t>
  </si>
  <si>
    <t>przedział czasu</t>
  </si>
  <si>
    <t>1-3</t>
  </si>
  <si>
    <t>2-4</t>
  </si>
  <si>
    <t>3-5</t>
  </si>
  <si>
    <t>4-6</t>
  </si>
  <si>
    <t>5-7</t>
  </si>
  <si>
    <t>6-8</t>
  </si>
  <si>
    <t>7-9</t>
  </si>
  <si>
    <t>8-10</t>
  </si>
  <si>
    <t>9-11</t>
  </si>
  <si>
    <t>10-12</t>
  </si>
  <si>
    <t>11-13</t>
  </si>
  <si>
    <t>12-14</t>
  </si>
  <si>
    <t>13-15</t>
  </si>
  <si>
    <t>16-18</t>
  </si>
  <si>
    <t>14-16</t>
  </si>
  <si>
    <t>15-17</t>
  </si>
  <si>
    <t>17-19</t>
  </si>
  <si>
    <t>18-20</t>
  </si>
  <si>
    <t>parametr a</t>
  </si>
  <si>
    <t xml:space="preserve">parametr b
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</si>
  <si>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</si>
  <si>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</si>
  <si>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</si>
  <si>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</si>
  <si>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</si>
  <si>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</si>
  <si>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</si>
  <si>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</si>
  <si>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</si>
  <si>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</si>
  <si>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</si>
  <si>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</si>
  <si>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</si>
  <si>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</si>
  <si>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</si>
  <si>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</si>
  <si>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</si>
  <si>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</si>
  <si>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wartości wygładzone</t>
  </si>
  <si>
    <t>PRZYROST TRENDU PEŁZAJĄCEGO</t>
  </si>
  <si>
    <t>wagi harmoniczne</t>
  </si>
  <si>
    <t>średni przyrost trendu</t>
  </si>
  <si>
    <t>PROGNOZA PUNKTOWA</t>
  </si>
  <si>
    <t>\</t>
  </si>
  <si>
    <t>t</t>
  </si>
  <si>
    <t>(t-tśr)^2</t>
  </si>
  <si>
    <t>(y-y*)^2</t>
  </si>
  <si>
    <t>(y-y*)^3</t>
  </si>
  <si>
    <t>(y-y*)^4</t>
  </si>
  <si>
    <t>t^</t>
  </si>
  <si>
    <t>b</t>
  </si>
  <si>
    <t>a</t>
  </si>
  <si>
    <t>r2</t>
  </si>
  <si>
    <t>Se</t>
  </si>
  <si>
    <t>prognoza</t>
  </si>
  <si>
    <t>u</t>
  </si>
  <si>
    <t>progoza</t>
  </si>
  <si>
    <t>błąd ex ante</t>
  </si>
  <si>
    <t>od</t>
  </si>
  <si>
    <t>do</t>
  </si>
  <si>
    <t xml:space="preserve">wzgledne bledy </t>
  </si>
  <si>
    <t>chi^2</t>
  </si>
  <si>
    <t>odchylenie reszt</t>
  </si>
  <si>
    <t>B1</t>
  </si>
  <si>
    <t>B2</t>
  </si>
  <si>
    <t>JB</t>
  </si>
  <si>
    <t>wiarygodnosc prognozy 95%</t>
  </si>
  <si>
    <t>blad wzgledny wynosci 10%</t>
  </si>
  <si>
    <t>(tak duzy, ponieważ jest to analiza surowca)</t>
  </si>
  <si>
    <t>kwartał</t>
  </si>
  <si>
    <t>I</t>
  </si>
  <si>
    <t>II</t>
  </si>
  <si>
    <t>III</t>
  </si>
  <si>
    <t>IV</t>
  </si>
  <si>
    <t xml:space="preserve">I </t>
  </si>
  <si>
    <t xml:space="preserve">Numer kolejnego kwartału t </t>
  </si>
  <si>
    <t>Ft</t>
  </si>
  <si>
    <t>St</t>
  </si>
  <si>
    <t>błąd</t>
  </si>
  <si>
    <t>komórka celu</t>
  </si>
  <si>
    <t>alfa</t>
  </si>
  <si>
    <t>beta</t>
  </si>
  <si>
    <t>wzgl ędny błąd prognozy dla kwartału</t>
  </si>
  <si>
    <t>Microsoft Excel 16.89 Raport wyników</t>
  </si>
  <si>
    <t>Arkusz: [natalia then projekt zad2.xlsx]m. holta</t>
  </si>
  <si>
    <t>Raport utworzony: 19.04.2025 21:22:48</t>
  </si>
  <si>
    <t>Wynik: Dodatek Solver znalazł rozwiązanie. Wszystkie ograniczenia i warunki optymalizacji są spełnione.</t>
  </si>
  <si>
    <t>Aparat dodatku Solver</t>
  </si>
  <si>
    <t>Aparat: Nieliniowa GRG</t>
  </si>
  <si>
    <t>Czas rozwiązania: 195,54 sek.</t>
  </si>
  <si>
    <t>Liczba iteracji: 0 Podproblemy: 0</t>
  </si>
  <si>
    <t>Opcje dodatku Solver</t>
  </si>
  <si>
    <t>Maksymalny czas Nieograniczone,  Iteracje Nieograniczone, Precision 0,000001</t>
  </si>
  <si>
    <t xml:space="preserve"> Zbieżność 0,0001, Rozmiar populacji 100, Inicjator losowy 0, Pochodne w przód, Wymagaj granic</t>
  </si>
  <si>
    <t>Maksymalna liczba podproblemów Nieograniczone, Maksymalna liczba rozwiązań całkowitoliczbowych Nieograniczone, Tolerancja całkowitoliczbowa 1%, Rozwiąż bez ograniczeń całkowitoliczbowych</t>
  </si>
  <si>
    <t>Komórka celu (Min)</t>
  </si>
  <si>
    <t>Komórka</t>
  </si>
  <si>
    <t>Nazwa</t>
  </si>
  <si>
    <t>Wartość początkowa</t>
  </si>
  <si>
    <t>Wartość końcowa</t>
  </si>
  <si>
    <t>Komórki zmiennych</t>
  </si>
  <si>
    <t>Całkowite</t>
  </si>
  <si>
    <t>Ograniczenia</t>
  </si>
  <si>
    <t>Wartość komórki</t>
  </si>
  <si>
    <t>Formuła</t>
  </si>
  <si>
    <t>Stan</t>
  </si>
  <si>
    <t>Zapas czasu</t>
  </si>
  <si>
    <t>$L$4</t>
  </si>
  <si>
    <t>$L$5</t>
  </si>
  <si>
    <t>Ciągłe</t>
  </si>
  <si>
    <t>$L$6</t>
  </si>
  <si>
    <t>$L$5&lt;=1</t>
  </si>
  <si>
    <t>Wiążące</t>
  </si>
  <si>
    <t>$L$6&lt;=1</t>
  </si>
  <si>
    <t>Niewiążące</t>
  </si>
  <si>
    <t>$L$5&gt;=0</t>
  </si>
  <si>
    <t>$L$6&gt;=0</t>
  </si>
  <si>
    <t>data</t>
  </si>
  <si>
    <t>liczba (w tysiacach)</t>
  </si>
  <si>
    <t xml:space="preserve">model multiplikatywny </t>
  </si>
  <si>
    <t>kwartały</t>
  </si>
  <si>
    <t>ilosc w tys.</t>
  </si>
  <si>
    <t>i</t>
  </si>
  <si>
    <t>zti</t>
  </si>
  <si>
    <t>We</t>
  </si>
  <si>
    <t>z1</t>
  </si>
  <si>
    <t>z2</t>
  </si>
  <si>
    <t>z3</t>
  </si>
  <si>
    <t>z4</t>
  </si>
  <si>
    <t>q</t>
  </si>
  <si>
    <t>c1</t>
  </si>
  <si>
    <t>c2</t>
  </si>
  <si>
    <t>c3</t>
  </si>
  <si>
    <t>c4</t>
  </si>
  <si>
    <t xml:space="preserve">ilosc </t>
  </si>
  <si>
    <t>Okres t</t>
  </si>
  <si>
    <t>ilosc</t>
  </si>
  <si>
    <t>F</t>
  </si>
  <si>
    <t>S</t>
  </si>
  <si>
    <t>C</t>
  </si>
  <si>
    <t>Y*</t>
  </si>
  <si>
    <t>prognoza:</t>
  </si>
  <si>
    <t>Fc</t>
  </si>
  <si>
    <t>Alfa</t>
  </si>
  <si>
    <t>Beta</t>
  </si>
  <si>
    <t>Gamma</t>
  </si>
  <si>
    <t>procentowy udział błędu prognoz:</t>
  </si>
  <si>
    <t>Prognoza 1</t>
  </si>
  <si>
    <t>Prognoza 2</t>
  </si>
  <si>
    <t>Prognoza 3</t>
  </si>
  <si>
    <t>Prognoza 4</t>
  </si>
  <si>
    <t>Kwartał</t>
  </si>
  <si>
    <t>Równanie modelu</t>
  </si>
  <si>
    <t>Parametr a</t>
  </si>
  <si>
    <t>Parametr b</t>
  </si>
  <si>
    <t>Współczynnik determinacji</t>
  </si>
  <si>
    <t>Względny błąd ex ante</t>
  </si>
  <si>
    <t>y=6695+274,286*t</t>
  </si>
  <si>
    <t>nr roku</t>
  </si>
  <si>
    <t>(ti-tsr)^2</t>
  </si>
  <si>
    <t>Kwartał I</t>
  </si>
  <si>
    <t>Kwartał II</t>
  </si>
  <si>
    <t>Kwartał III</t>
  </si>
  <si>
    <t>Kwartał IV</t>
  </si>
  <si>
    <t>Dane</t>
  </si>
  <si>
    <t>Reglinp</t>
  </si>
  <si>
    <t>y=156,64+509,84*t</t>
  </si>
  <si>
    <t>y=133,11+518,48*t</t>
  </si>
  <si>
    <t>y=125,29+493,77*t</t>
  </si>
  <si>
    <t>T srednie</t>
  </si>
  <si>
    <t>Prognoza a+b*4</t>
  </si>
  <si>
    <t>Bezwzględny błąd ex ante dla 3 okresów</t>
  </si>
  <si>
    <t>s*</t>
  </si>
  <si>
    <t>srednia</t>
  </si>
  <si>
    <t>odch.</t>
  </si>
  <si>
    <t>odch.stand.</t>
  </si>
  <si>
    <t>średnia</t>
  </si>
  <si>
    <t>RMSPE</t>
  </si>
  <si>
    <t>RMSE</t>
  </si>
  <si>
    <t>MAPE</t>
  </si>
  <si>
    <t>MAE</t>
  </si>
  <si>
    <t>reglinp</t>
  </si>
  <si>
    <t>&lt;chi^2, więc rozkład jest rozkładem normalnym</t>
  </si>
  <si>
    <t>dla rozkładu normalnego</t>
  </si>
  <si>
    <t>odchylenie standardowe</t>
  </si>
  <si>
    <t>współczynnik zmienności</t>
  </si>
  <si>
    <t>względny błąd</t>
  </si>
  <si>
    <t>Porównanie prognoz</t>
  </si>
  <si>
    <t>Porównanie błędów</t>
  </si>
  <si>
    <t>Rok</t>
  </si>
  <si>
    <t>Model analityczny</t>
  </si>
  <si>
    <t>Model Holta</t>
  </si>
  <si>
    <t>Model trendu pełzającego</t>
  </si>
  <si>
    <t>Błąd</t>
  </si>
  <si>
    <t>1 kwartał</t>
  </si>
  <si>
    <t>2 kwartał</t>
  </si>
  <si>
    <t>3 kwartał</t>
  </si>
  <si>
    <t>Model Trendu</t>
  </si>
  <si>
    <t>y*</t>
  </si>
  <si>
    <t>Metoda wskaźników</t>
  </si>
  <si>
    <t>Model Wintersa</t>
  </si>
  <si>
    <t>Model trendów jednoimiennych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</si>
</sst>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zł&quot;"/>
    <numFmt numFmtId="165" formatCode="0.0000"/>
    <numFmt numFmtId="166" formatCode="0.000%"/>
    <numFmt numFmtId="167" formatCode="0.000"/>
  </numFmts>
  <fonts count="11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charset val="238"/>
      <scheme val="minor"/>
    </font>
    <font>
      <sz val="10"/>
      <name val="Arial"/>
      <family val="2"/>
      <charset val="238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sz val="11"/>
      <color theme="0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164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2" borderId="0" xfId="0" applyFill="1"/>
    <xf numFmtId="10" fontId="0" fillId="0" borderId="0" xfId="0" applyNumberFormat="1"/>
    <xf numFmtId="166" fontId="0" fillId="0" borderId="0" xfId="1" applyNumberFormat="1" applyFont="1"/>
    <xf numFmtId="0" fontId="0" fillId="3" borderId="0" xfId="0" applyFill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/>
    <xf numFmtId="0" fontId="0" fillId="0" borderId="3" xfId="0" applyBorder="1"/>
    <xf numFmtId="0" fontId="7" fillId="0" borderId="2" xfId="0" applyFont="1" applyBorder="1" applyAlignment="1">
      <alignment horizontal="center"/>
    </xf>
    <xf numFmtId="0" fontId="0" fillId="0" borderId="4" xfId="0" applyBorder="1"/>
    <xf numFmtId="167" fontId="0" fillId="0" borderId="4" xfId="0" applyNumberFormat="1" applyBorder="1"/>
    <xf numFmtId="17" fontId="0" fillId="0" borderId="0" xfId="0" applyNumberFormat="1"/>
    <xf numFmtId="0" fontId="8" fillId="0" borderId="1" xfId="0" applyFont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/>
    <xf numFmtId="0" fontId="0" fillId="4" borderId="0" xfId="0" applyFill="1"/>
    <xf numFmtId="9" fontId="0" fillId="0" borderId="1" xfId="1" applyFont="1" applyBorder="1"/>
    <xf numFmtId="10" fontId="0" fillId="0" borderId="1" xfId="1" applyNumberFormat="1" applyFont="1" applyBorder="1"/>
    <xf numFmtId="166" fontId="0" fillId="0" borderId="1" xfId="1" applyNumberFormat="1" applyFont="1" applyBorder="1"/>
    <xf numFmtId="0" fontId="0" fillId="3" borderId="1" xfId="0" applyFill="1" applyBorder="1"/>
    <xf numFmtId="166" fontId="0" fillId="3" borderId="1" xfId="1" applyNumberFormat="1" applyFont="1" applyFill="1" applyBorder="1"/>
    <xf numFmtId="3" fontId="0" fillId="0" borderId="1" xfId="0" applyNumberFormat="1" applyBorder="1"/>
    <xf numFmtId="0" fontId="0" fillId="3" borderId="5" xfId="0" applyFill="1" applyBorder="1"/>
    <xf numFmtId="0" fontId="5" fillId="0" borderId="5" xfId="0" applyFont="1" applyBorder="1" applyAlignment="1">
      <alignment horizontal="center"/>
    </xf>
    <xf numFmtId="2" fontId="0" fillId="0" borderId="1" xfId="0" applyNumberFormat="1" applyBorder="1"/>
    <xf numFmtId="2" fontId="0" fillId="3" borderId="1" xfId="0" applyNumberFormat="1" applyFill="1" applyBorder="1"/>
    <xf numFmtId="167" fontId="0" fillId="0" borderId="1" xfId="0" applyNumberFormat="1" applyBorder="1"/>
    <xf numFmtId="166" fontId="0" fillId="0" borderId="1" xfId="0" applyNumberFormat="1" applyBorder="1"/>
    <xf numFmtId="0" fontId="0" fillId="0" borderId="5" xfId="0" applyBorder="1"/>
    <xf numFmtId="166" fontId="0" fillId="3" borderId="1" xfId="0" applyNumberFormat="1" applyFill="1" applyBorder="1"/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/>
    <xf numFmtId="49" fontId="0" fillId="0" borderId="1" xfId="0" applyNumberFormat="1" applyBorder="1"/>
    <xf numFmtId="0" fontId="0" fillId="4" borderId="5" xfId="0" applyFill="1" applyBorder="1" applyAlignment="1">
      <alignment wrapText="1"/>
    </xf>
    <xf numFmtId="165" fontId="0" fillId="0" borderId="1" xfId="0" applyNumberFormat="1" applyBorder="1"/>
    <xf numFmtId="165" fontId="0" fillId="3" borderId="1" xfId="0" applyNumberFormat="1" applyFill="1" applyBorder="1"/>
    <xf numFmtId="17" fontId="0" fillId="0" borderId="1" xfId="0" applyNumberFormat="1" applyBorder="1"/>
    <xf numFmtId="11" fontId="0" fillId="0" borderId="1" xfId="0" applyNumberFormat="1" applyBorder="1"/>
    <xf numFmtId="10" fontId="0" fillId="0" borderId="1" xfId="0" applyNumberFormat="1" applyBorder="1"/>
    <xf numFmtId="0" fontId="0" fillId="0" borderId="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2" fontId="0" fillId="4" borderId="1" xfId="0" applyNumberFormat="1" applyFill="1" applyBorder="1"/>
    <xf numFmtId="0" fontId="10" fillId="6" borderId="1" xfId="0" applyFont="1" applyFill="1" applyBorder="1"/>
    <xf numFmtId="0" fontId="10" fillId="6" borderId="6" xfId="0" applyFont="1" applyFill="1" applyBorder="1"/>
    <xf numFmtId="0" fontId="0" fillId="0" borderId="7" xfId="0" applyBorder="1"/>
    <xf numFmtId="1" fontId="0" fillId="0" borderId="7" xfId="0" applyNumberFormat="1" applyBorder="1"/>
    <xf numFmtId="1" fontId="0" fillId="4" borderId="1" xfId="0" applyNumberFormat="1" applyFill="1" applyBorder="1"/>
    <xf numFmtId="9" fontId="0" fillId="0" borderId="0" xfId="1" applyFont="1"/>
    <xf numFmtId="0" fontId="0" fillId="4" borderId="8" xfId="0" applyFill="1" applyBorder="1"/>
    <xf numFmtId="0" fontId="0" fillId="4" borderId="5" xfId="0" applyFill="1" applyBorder="1"/>
    <xf numFmtId="10" fontId="0" fillId="4" borderId="1" xfId="0" applyNumberFormat="1" applyFill="1" applyBorder="1"/>
    <xf numFmtId="0" fontId="0" fillId="0" borderId="1" xfId="0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7" xfId="0" applyFill="1" applyBorder="1" applyAlignment="1">
      <alignment horizontal="center" wrapText="1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Cena</a:t>
            </a:r>
            <a:r>
              <a:rPr lang="pl-PL" baseline="0"/>
              <a:t> złota w latach 2020-2024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93282156068868"/>
          <c:y val="0.18846264226991602"/>
          <c:w val="0.8463971754891233"/>
          <c:h val="0.64475410864869931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dane1!$A$2:$A$61</c:f>
              <c:strCache>
                <c:ptCount val="60"/>
                <c:pt idx="0">
                  <c:v>2024-12</c:v>
                </c:pt>
                <c:pt idx="1">
                  <c:v>2024-11</c:v>
                </c:pt>
                <c:pt idx="2">
                  <c:v>2024-10</c:v>
                </c:pt>
                <c:pt idx="3">
                  <c:v>2024-09</c:v>
                </c:pt>
                <c:pt idx="4">
                  <c:v>2024-08</c:v>
                </c:pt>
                <c:pt idx="5">
                  <c:v>2024-07</c:v>
                </c:pt>
                <c:pt idx="6">
                  <c:v>2024-06</c:v>
                </c:pt>
                <c:pt idx="7">
                  <c:v>2024-05</c:v>
                </c:pt>
                <c:pt idx="8">
                  <c:v>2024-04</c:v>
                </c:pt>
                <c:pt idx="9">
                  <c:v>2024-03</c:v>
                </c:pt>
                <c:pt idx="10">
                  <c:v>2024-02</c:v>
                </c:pt>
                <c:pt idx="11">
                  <c:v>2024-01</c:v>
                </c:pt>
                <c:pt idx="12">
                  <c:v>2023-12</c:v>
                </c:pt>
                <c:pt idx="13">
                  <c:v>2023-11</c:v>
                </c:pt>
                <c:pt idx="14">
                  <c:v>2023-10</c:v>
                </c:pt>
                <c:pt idx="15">
                  <c:v>2023-09</c:v>
                </c:pt>
                <c:pt idx="16">
                  <c:v>2023-08</c:v>
                </c:pt>
                <c:pt idx="17">
                  <c:v>2023-07</c:v>
                </c:pt>
                <c:pt idx="18">
                  <c:v>2023-06</c:v>
                </c:pt>
                <c:pt idx="19">
                  <c:v>2023-05</c:v>
                </c:pt>
                <c:pt idx="20">
                  <c:v>2023-04</c:v>
                </c:pt>
                <c:pt idx="21">
                  <c:v>2023-03</c:v>
                </c:pt>
                <c:pt idx="22">
                  <c:v>2023-02</c:v>
                </c:pt>
                <c:pt idx="23">
                  <c:v>2023-01</c:v>
                </c:pt>
                <c:pt idx="24">
                  <c:v>2022-12</c:v>
                </c:pt>
                <c:pt idx="25">
                  <c:v>2022-11</c:v>
                </c:pt>
                <c:pt idx="26">
                  <c:v>2022-10</c:v>
                </c:pt>
                <c:pt idx="27">
                  <c:v>2022-09</c:v>
                </c:pt>
                <c:pt idx="28">
                  <c:v>2022-08</c:v>
                </c:pt>
                <c:pt idx="29">
                  <c:v>2022-07</c:v>
                </c:pt>
                <c:pt idx="30">
                  <c:v>2022-06</c:v>
                </c:pt>
                <c:pt idx="31">
                  <c:v>2022-05</c:v>
                </c:pt>
                <c:pt idx="32">
                  <c:v>2022-04</c:v>
                </c:pt>
                <c:pt idx="33">
                  <c:v>2022-03</c:v>
                </c:pt>
                <c:pt idx="34">
                  <c:v>2022-02</c:v>
                </c:pt>
                <c:pt idx="35">
                  <c:v>2022-01</c:v>
                </c:pt>
                <c:pt idx="36">
                  <c:v>2021-12</c:v>
                </c:pt>
                <c:pt idx="37">
                  <c:v>2021-11</c:v>
                </c:pt>
                <c:pt idx="38">
                  <c:v>2021-10</c:v>
                </c:pt>
                <c:pt idx="39">
                  <c:v>2021-09</c:v>
                </c:pt>
                <c:pt idx="40">
                  <c:v>2021-08</c:v>
                </c:pt>
                <c:pt idx="41">
                  <c:v>2021-07</c:v>
                </c:pt>
                <c:pt idx="42">
                  <c:v>2021-06</c:v>
                </c:pt>
                <c:pt idx="43">
                  <c:v>2021-05</c:v>
                </c:pt>
                <c:pt idx="44">
                  <c:v>2021-04</c:v>
                </c:pt>
                <c:pt idx="45">
                  <c:v>2021-03</c:v>
                </c:pt>
                <c:pt idx="46">
                  <c:v>2021-02</c:v>
                </c:pt>
                <c:pt idx="47">
                  <c:v>2021-01</c:v>
                </c:pt>
                <c:pt idx="48">
                  <c:v>2020-12</c:v>
                </c:pt>
                <c:pt idx="49">
                  <c:v>2020-11</c:v>
                </c:pt>
                <c:pt idx="50">
                  <c:v>2020-10</c:v>
                </c:pt>
                <c:pt idx="51">
                  <c:v>2020-09</c:v>
                </c:pt>
                <c:pt idx="52">
                  <c:v>2020-08</c:v>
                </c:pt>
                <c:pt idx="53">
                  <c:v>2020-07</c:v>
                </c:pt>
                <c:pt idx="54">
                  <c:v>2020-06</c:v>
                </c:pt>
                <c:pt idx="55">
                  <c:v>2020-05</c:v>
                </c:pt>
                <c:pt idx="56">
                  <c:v>2020-04</c:v>
                </c:pt>
                <c:pt idx="57">
                  <c:v>2020-03</c:v>
                </c:pt>
                <c:pt idx="58">
                  <c:v>2020-02</c:v>
                </c:pt>
                <c:pt idx="59">
                  <c:v>2020-01</c:v>
                </c:pt>
              </c:strCache>
            </c:strRef>
          </c:cat>
          <c:val>
            <c:numRef>
              <c:f>dane1!$B$2:$B$61</c:f>
              <c:numCache>
                <c:formatCode>0.00</c:formatCode>
                <c:ptCount val="60"/>
                <c:pt idx="0">
                  <c:v>2648.01</c:v>
                </c:pt>
                <c:pt idx="1">
                  <c:v>2651.13</c:v>
                </c:pt>
                <c:pt idx="2">
                  <c:v>2690.08</c:v>
                </c:pt>
                <c:pt idx="3">
                  <c:v>2570.5500000000002</c:v>
                </c:pt>
                <c:pt idx="4">
                  <c:v>2470.15</c:v>
                </c:pt>
                <c:pt idx="5">
                  <c:v>2398.1999999999998</c:v>
                </c:pt>
                <c:pt idx="6">
                  <c:v>2326.44</c:v>
                </c:pt>
                <c:pt idx="7">
                  <c:v>2351.13</c:v>
                </c:pt>
                <c:pt idx="8">
                  <c:v>2331.4499999999998</c:v>
                </c:pt>
                <c:pt idx="9">
                  <c:v>2158.0100000000002</c:v>
                </c:pt>
                <c:pt idx="10">
                  <c:v>2023.24</c:v>
                </c:pt>
                <c:pt idx="11">
                  <c:v>2034.04</c:v>
                </c:pt>
                <c:pt idx="12">
                  <c:v>2026.18</c:v>
                </c:pt>
                <c:pt idx="13">
                  <c:v>1984.11</c:v>
                </c:pt>
                <c:pt idx="14">
                  <c:v>1916.25</c:v>
                </c:pt>
                <c:pt idx="15">
                  <c:v>1915.95</c:v>
                </c:pt>
                <c:pt idx="16">
                  <c:v>1918.7</c:v>
                </c:pt>
                <c:pt idx="17">
                  <c:v>1951.02</c:v>
                </c:pt>
                <c:pt idx="18">
                  <c:v>1942.9</c:v>
                </c:pt>
                <c:pt idx="19">
                  <c:v>1992.13</c:v>
                </c:pt>
                <c:pt idx="20">
                  <c:v>1999.77</c:v>
                </c:pt>
                <c:pt idx="21">
                  <c:v>1912.73</c:v>
                </c:pt>
                <c:pt idx="22">
                  <c:v>1854.54</c:v>
                </c:pt>
                <c:pt idx="23">
                  <c:v>1897.71</c:v>
                </c:pt>
                <c:pt idx="24">
                  <c:v>1797.55</c:v>
                </c:pt>
                <c:pt idx="25">
                  <c:v>1725.07</c:v>
                </c:pt>
                <c:pt idx="26">
                  <c:v>1664.45</c:v>
                </c:pt>
                <c:pt idx="27">
                  <c:v>1680.78</c:v>
                </c:pt>
                <c:pt idx="28">
                  <c:v>1764.56</c:v>
                </c:pt>
                <c:pt idx="29">
                  <c:v>1732.74</c:v>
                </c:pt>
                <c:pt idx="30">
                  <c:v>1836.57</c:v>
                </c:pt>
                <c:pt idx="31">
                  <c:v>1848.5</c:v>
                </c:pt>
                <c:pt idx="32">
                  <c:v>1936.86</c:v>
                </c:pt>
                <c:pt idx="33">
                  <c:v>1947.83</c:v>
                </c:pt>
                <c:pt idx="34">
                  <c:v>1856.3</c:v>
                </c:pt>
                <c:pt idx="35">
                  <c:v>1816.02</c:v>
                </c:pt>
                <c:pt idx="36">
                  <c:v>1790.43</c:v>
                </c:pt>
                <c:pt idx="37">
                  <c:v>1821.76</c:v>
                </c:pt>
                <c:pt idx="38">
                  <c:v>1776.85</c:v>
                </c:pt>
                <c:pt idx="39">
                  <c:v>1775.14</c:v>
                </c:pt>
                <c:pt idx="40">
                  <c:v>1785.28</c:v>
                </c:pt>
                <c:pt idx="41">
                  <c:v>1807.84</c:v>
                </c:pt>
                <c:pt idx="42">
                  <c:v>1834.57</c:v>
                </c:pt>
                <c:pt idx="43">
                  <c:v>1850.26</c:v>
                </c:pt>
                <c:pt idx="44">
                  <c:v>1760.04</c:v>
                </c:pt>
                <c:pt idx="45">
                  <c:v>1718.23</c:v>
                </c:pt>
                <c:pt idx="46">
                  <c:v>1808.17</c:v>
                </c:pt>
                <c:pt idx="47">
                  <c:v>1866.98</c:v>
                </c:pt>
                <c:pt idx="48">
                  <c:v>1858.42</c:v>
                </c:pt>
                <c:pt idx="49">
                  <c:v>1866.3</c:v>
                </c:pt>
                <c:pt idx="50">
                  <c:v>1900.27</c:v>
                </c:pt>
                <c:pt idx="51">
                  <c:v>1921.92</c:v>
                </c:pt>
                <c:pt idx="52">
                  <c:v>1968.63</c:v>
                </c:pt>
                <c:pt idx="53">
                  <c:v>1846.51</c:v>
                </c:pt>
                <c:pt idx="54">
                  <c:v>1732.22</c:v>
                </c:pt>
                <c:pt idx="55">
                  <c:v>1715.91</c:v>
                </c:pt>
                <c:pt idx="56">
                  <c:v>1683.17</c:v>
                </c:pt>
                <c:pt idx="57">
                  <c:v>1591.93</c:v>
                </c:pt>
                <c:pt idx="58">
                  <c:v>1597.1</c:v>
                </c:pt>
                <c:pt idx="59">
                  <c:v>1560.67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A-8149-A693-6D2B24C5D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633871"/>
        <c:axId val="1607949471"/>
      </c:lineChart>
      <c:catAx>
        <c:axId val="164163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07949471"/>
        <c:crosses val="autoZero"/>
        <c:auto val="1"/>
        <c:lblAlgn val="ctr"/>
        <c:lblOffset val="100"/>
        <c:noMultiLvlLbl val="0"/>
      </c:catAx>
      <c:valAx>
        <c:axId val="160794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4163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 Cena</a:t>
            </a:r>
            <a:r>
              <a:rPr lang="pl-PL" baseline="0"/>
              <a:t> złota w latach 2020-2024</a:t>
            </a:r>
            <a:endParaRPr lang="pl-PL"/>
          </a:p>
        </c:rich>
      </c:tx>
      <c:layout>
        <c:manualLayout>
          <c:xMode val="edge"/>
          <c:yMode val="edge"/>
          <c:x val="0.41366466375574812"/>
          <c:y val="3.2481174437425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850152127272908"/>
                  <c:y val="-7.23906363606469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val>
            <c:numRef>
              <c:f>'m. analityczny'!$A$14:$A$33</c:f>
              <c:numCache>
                <c:formatCode>0</c:formatCode>
                <c:ptCount val="20"/>
                <c:pt idx="0">
                  <c:v>1583.2333333333333</c:v>
                </c:pt>
                <c:pt idx="1">
                  <c:v>1710.4333333333334</c:v>
                </c:pt>
                <c:pt idx="2">
                  <c:v>1912.3533333333335</c:v>
                </c:pt>
                <c:pt idx="3">
                  <c:v>1874.9966666666667</c:v>
                </c:pt>
                <c:pt idx="4">
                  <c:v>1797.7933333333333</c:v>
                </c:pt>
                <c:pt idx="5">
                  <c:v>1814.9566666666667</c:v>
                </c:pt>
                <c:pt idx="6">
                  <c:v>1789.42</c:v>
                </c:pt>
                <c:pt idx="7">
                  <c:v>1796.3466666666666</c:v>
                </c:pt>
                <c:pt idx="8">
                  <c:v>1873.3833333333332</c:v>
                </c:pt>
                <c:pt idx="9">
                  <c:v>1873.9766666666665</c:v>
                </c:pt>
                <c:pt idx="10">
                  <c:v>1726.0266666666666</c:v>
                </c:pt>
                <c:pt idx="11">
                  <c:v>1729.0233333333333</c:v>
                </c:pt>
                <c:pt idx="12">
                  <c:v>1888.3266666666666</c:v>
                </c:pt>
                <c:pt idx="13">
                  <c:v>1978.2666666666667</c:v>
                </c:pt>
                <c:pt idx="14">
                  <c:v>1928.5566666666666</c:v>
                </c:pt>
                <c:pt idx="15">
                  <c:v>1975.5133333333333</c:v>
                </c:pt>
                <c:pt idx="16">
                  <c:v>2071.7633333333333</c:v>
                </c:pt>
                <c:pt idx="17">
                  <c:v>2336.3399999999997</c:v>
                </c:pt>
                <c:pt idx="18">
                  <c:v>2479.6333333333337</c:v>
                </c:pt>
                <c:pt idx="19">
                  <c:v>2663.0733333333333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5-7442-B267-1121B50A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391632"/>
        <c:axId val="875272464"/>
      </c:lineChart>
      <c:catAx>
        <c:axId val="406391632"/>
        <c:scaling>
          <c:orientation val="minMax"/>
        </c:scaling>
        <c:delete val="1"/>
        <c:axPos val="b"/>
        <c:majorTickMark val="none"/>
        <c:minorTickMark val="none"/>
        <c:tickLblPos val="nextTo"/>
        <c:crossAx val="875272464"/>
        <c:crosses val="autoZero"/>
        <c:auto val="1"/>
        <c:lblAlgn val="ctr"/>
        <c:lblOffset val="100"/>
        <c:noMultiLvlLbl val="0"/>
      </c:catAx>
      <c:valAx>
        <c:axId val="8752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639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Model liniowy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291426071741032"/>
          <c:y val="0.19486111111111112"/>
          <c:w val="0.87764129483814524"/>
          <c:h val="0.721258019830854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'm. analityczny'!$A$14:$A$33</c:f>
              <c:numCache>
                <c:formatCode>0</c:formatCode>
                <c:ptCount val="20"/>
                <c:pt idx="0">
                  <c:v>1583.2333333333333</c:v>
                </c:pt>
                <c:pt idx="1">
                  <c:v>1710.4333333333334</c:v>
                </c:pt>
                <c:pt idx="2">
                  <c:v>1912.3533333333335</c:v>
                </c:pt>
                <c:pt idx="3">
                  <c:v>1874.9966666666667</c:v>
                </c:pt>
                <c:pt idx="4">
                  <c:v>1797.7933333333333</c:v>
                </c:pt>
                <c:pt idx="5">
                  <c:v>1814.9566666666667</c:v>
                </c:pt>
                <c:pt idx="6">
                  <c:v>1789.42</c:v>
                </c:pt>
                <c:pt idx="7">
                  <c:v>1796.3466666666666</c:v>
                </c:pt>
                <c:pt idx="8">
                  <c:v>1873.3833333333332</c:v>
                </c:pt>
                <c:pt idx="9">
                  <c:v>1873.9766666666665</c:v>
                </c:pt>
                <c:pt idx="10">
                  <c:v>1726.0266666666666</c:v>
                </c:pt>
                <c:pt idx="11">
                  <c:v>1729.0233333333333</c:v>
                </c:pt>
                <c:pt idx="12">
                  <c:v>1888.3266666666666</c:v>
                </c:pt>
                <c:pt idx="13">
                  <c:v>1978.2666666666667</c:v>
                </c:pt>
                <c:pt idx="14">
                  <c:v>1928.5566666666666</c:v>
                </c:pt>
                <c:pt idx="15">
                  <c:v>1975.5133333333333</c:v>
                </c:pt>
                <c:pt idx="16">
                  <c:v>2071.7633333333333</c:v>
                </c:pt>
                <c:pt idx="17">
                  <c:v>2336.3399999999997</c:v>
                </c:pt>
                <c:pt idx="18">
                  <c:v>2479.6333333333337</c:v>
                </c:pt>
                <c:pt idx="19">
                  <c:v>2663.0733333333333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4-704D-A9E5-9550191AB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7920"/>
        <c:axId val="162399632"/>
      </c:lineChart>
      <c:catAx>
        <c:axId val="16239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399632"/>
        <c:crosses val="autoZero"/>
        <c:auto val="1"/>
        <c:lblAlgn val="ctr"/>
        <c:lblOffset val="100"/>
        <c:noMultiLvlLbl val="0"/>
      </c:catAx>
      <c:valAx>
        <c:axId val="16239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39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Model wykładniczy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val>
            <c:numRef>
              <c:f>'m. analityczny'!$A$14:$A$33</c:f>
              <c:numCache>
                <c:formatCode>0</c:formatCode>
                <c:ptCount val="20"/>
                <c:pt idx="0">
                  <c:v>1583.2333333333333</c:v>
                </c:pt>
                <c:pt idx="1">
                  <c:v>1710.4333333333334</c:v>
                </c:pt>
                <c:pt idx="2">
                  <c:v>1912.3533333333335</c:v>
                </c:pt>
                <c:pt idx="3">
                  <c:v>1874.9966666666667</c:v>
                </c:pt>
                <c:pt idx="4">
                  <c:v>1797.7933333333333</c:v>
                </c:pt>
                <c:pt idx="5">
                  <c:v>1814.9566666666667</c:v>
                </c:pt>
                <c:pt idx="6">
                  <c:v>1789.42</c:v>
                </c:pt>
                <c:pt idx="7">
                  <c:v>1796.3466666666666</c:v>
                </c:pt>
                <c:pt idx="8">
                  <c:v>1873.3833333333332</c:v>
                </c:pt>
                <c:pt idx="9">
                  <c:v>1873.9766666666665</c:v>
                </c:pt>
                <c:pt idx="10">
                  <c:v>1726.0266666666666</c:v>
                </c:pt>
                <c:pt idx="11">
                  <c:v>1729.0233333333333</c:v>
                </c:pt>
                <c:pt idx="12">
                  <c:v>1888.3266666666666</c:v>
                </c:pt>
                <c:pt idx="13">
                  <c:v>1978.2666666666667</c:v>
                </c:pt>
                <c:pt idx="14">
                  <c:v>1928.5566666666666</c:v>
                </c:pt>
                <c:pt idx="15">
                  <c:v>1975.5133333333333</c:v>
                </c:pt>
                <c:pt idx="16">
                  <c:v>2071.7633333333333</c:v>
                </c:pt>
                <c:pt idx="17">
                  <c:v>2336.3399999999997</c:v>
                </c:pt>
                <c:pt idx="18">
                  <c:v>2479.6333333333337</c:v>
                </c:pt>
                <c:pt idx="19">
                  <c:v>2663.0733333333333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9E-0E44-8E30-A50F90CC3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97920"/>
        <c:axId val="162399632"/>
      </c:lineChart>
      <c:catAx>
        <c:axId val="16239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399632"/>
        <c:crosses val="autoZero"/>
        <c:auto val="1"/>
        <c:lblAlgn val="ctr"/>
        <c:lblOffset val="100"/>
        <c:noMultiLvlLbl val="0"/>
      </c:catAx>
      <c:valAx>
        <c:axId val="16239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239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Ilosc pasażerów na lotnisku w Krakowie 2023-2025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dane2!$A$2:$A$37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dane2!$B$2:$B$37</c:f>
              <c:numCache>
                <c:formatCode>General</c:formatCode>
                <c:ptCount val="36"/>
                <c:pt idx="0">
                  <c:v>593.51499999999999</c:v>
                </c:pt>
                <c:pt idx="1">
                  <c:v>681.27499999999998</c:v>
                </c:pt>
                <c:pt idx="2">
                  <c:v>718.66200000000003</c:v>
                </c:pt>
                <c:pt idx="3">
                  <c:v>744.91300000000001</c:v>
                </c:pt>
                <c:pt idx="4">
                  <c:v>777.26700000000005</c:v>
                </c:pt>
                <c:pt idx="5">
                  <c:v>716.702</c:v>
                </c:pt>
                <c:pt idx="6">
                  <c:v>745.13300000000004</c:v>
                </c:pt>
                <c:pt idx="7">
                  <c:v>596.16200000000003</c:v>
                </c:pt>
                <c:pt idx="8">
                  <c:v>622.26900000000001</c:v>
                </c:pt>
                <c:pt idx="9">
                  <c:v>611.61300000000006</c:v>
                </c:pt>
                <c:pt idx="10">
                  <c:v>591.02099999999996</c:v>
                </c:pt>
                <c:pt idx="11">
                  <c:v>687.31100000000004</c:v>
                </c:pt>
                <c:pt idx="12">
                  <c:v>774.654</c:v>
                </c:pt>
                <c:pt idx="13">
                  <c:v>839.32500000000005</c:v>
                </c:pt>
                <c:pt idx="14">
                  <c:v>867.40300000000002</c:v>
                </c:pt>
                <c:pt idx="15">
                  <c:v>918.899</c:v>
                </c:pt>
                <c:pt idx="16">
                  <c:v>913.23</c:v>
                </c:pt>
                <c:pt idx="17">
                  <c:v>884.38099999999997</c:v>
                </c:pt>
                <c:pt idx="18">
                  <c:v>868.81</c:v>
                </c:pt>
                <c:pt idx="19">
                  <c:v>713.50599999999997</c:v>
                </c:pt>
                <c:pt idx="20">
                  <c:v>754.15800000000002</c:v>
                </c:pt>
                <c:pt idx="21">
                  <c:v>691.88099999999997</c:v>
                </c:pt>
                <c:pt idx="22">
                  <c:v>685.13900000000001</c:v>
                </c:pt>
                <c:pt idx="23">
                  <c:v>790.42700000000002</c:v>
                </c:pt>
                <c:pt idx="24">
                  <c:v>925.82</c:v>
                </c:pt>
                <c:pt idx="25">
                  <c:v>1006.407</c:v>
                </c:pt>
                <c:pt idx="26">
                  <c:v>1001.079</c:v>
                </c:pt>
                <c:pt idx="27">
                  <c:v>1071.5060000000001</c:v>
                </c:pt>
                <c:pt idx="28">
                  <c:v>1105.9449999999999</c:v>
                </c:pt>
                <c:pt idx="29">
                  <c:v>1040.8489999999999</c:v>
                </c:pt>
                <c:pt idx="30">
                  <c:v>1029.4760000000001</c:v>
                </c:pt>
                <c:pt idx="31">
                  <c:v>853.46600000000001</c:v>
                </c:pt>
                <c:pt idx="32">
                  <c:v>879.25300000000004</c:v>
                </c:pt>
                <c:pt idx="33">
                  <c:v>796.19500000000005</c:v>
                </c:pt>
                <c:pt idx="34">
                  <c:v>857.31</c:v>
                </c:pt>
                <c:pt idx="35">
                  <c:v>988.16499999999996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02-2945-82F7-02451701F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36384"/>
        <c:axId val="81345632"/>
      </c:lineChart>
      <c:dateAx>
        <c:axId val="81336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345632"/>
        <c:crosses val="autoZero"/>
        <c:auto val="1"/>
        <c:lblOffset val="100"/>
        <c:baseTimeUnit val="months"/>
      </c:dateAx>
      <c:valAx>
        <c:axId val="8134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133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pasażerów w 2022-2025</a:t>
            </a:r>
          </a:p>
        </c:rich>
      </c:tx>
      <c:layout>
        <c:manualLayout>
          <c:xMode val="edge"/>
          <c:yMode val="edge"/>
          <c:x val="0.304930446194225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'm. wskaźników'!$C$4:$C$15</c:f>
              <c:numCache>
                <c:formatCode>0</c:formatCode>
                <c:ptCount val="12"/>
                <c:pt idx="0">
                  <c:v>664.48400000000004</c:v>
                </c:pt>
                <c:pt idx="1">
                  <c:v>746.29399999999998</c:v>
                </c:pt>
                <c:pt idx="2">
                  <c:v>654.52133333333336</c:v>
                </c:pt>
                <c:pt idx="3">
                  <c:v>629.98166666666668</c:v>
                </c:pt>
                <c:pt idx="4">
                  <c:v>827.12733333333335</c:v>
                </c:pt>
                <c:pt idx="5">
                  <c:v>905.50333333333322</c:v>
                </c:pt>
                <c:pt idx="6">
                  <c:v>778.82466666666653</c:v>
                </c:pt>
                <c:pt idx="7">
                  <c:v>722.48233333333337</c:v>
                </c:pt>
                <c:pt idx="8">
                  <c:v>977.76866666666672</c:v>
                </c:pt>
                <c:pt idx="9">
                  <c:v>1072.7666666666667</c:v>
                </c:pt>
                <c:pt idx="10">
                  <c:v>920.73166666666668</c:v>
                </c:pt>
                <c:pt idx="11">
                  <c:v>880.55666666666673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31-8848-B591-BF5218705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357999"/>
        <c:axId val="1887550079"/>
      </c:lineChart>
      <c:catAx>
        <c:axId val="1888357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7550079"/>
        <c:crosses val="autoZero"/>
        <c:auto val="1"/>
        <c:lblAlgn val="ctr"/>
        <c:lblOffset val="100"/>
        <c:noMultiLvlLbl val="0"/>
      </c:catAx>
      <c:valAx>
        <c:axId val="18875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835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9475422638186649E-2"/>
                  <c:y val="0.261892784497276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val>
            <c:numRef>
              <c:f>('model trendów jednoimiennych'!$B$2,'model trendów jednoimiennych'!$B$6,'model trendów jednoimiennych'!$B$10)</c:f>
              <c:numCache>
                <c:formatCode>General</c:formatCode>
                <c:ptCount val="3"/>
                <c:pt idx="0">
                  <c:v>664.48400000000004</c:v>
                </c:pt>
                <c:pt idx="1">
                  <c:v>827.12733333333335</c:v>
                </c:pt>
                <c:pt idx="2">
                  <c:v>977.76866666666672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2-2F49-AA5A-E531DADF0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80208"/>
        <c:axId val="1182331120"/>
      </c:lineChart>
      <c:catAx>
        <c:axId val="118268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2331120"/>
        <c:crosses val="autoZero"/>
        <c:auto val="1"/>
        <c:lblAlgn val="ctr"/>
        <c:lblOffset val="100"/>
        <c:noMultiLvlLbl val="0"/>
      </c:catAx>
      <c:valAx>
        <c:axId val="11823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268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III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2895812869869736"/>
          <c:y val="0.23288997256438704"/>
          <c:w val="0.76015184300866612"/>
          <c:h val="0.4823956509171942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2295931758530187E-2"/>
                  <c:y val="0.565787037037037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val>
            <c:numRef>
              <c:f>('model trendów jednoimiennych'!$B$3,'model trendów jednoimiennych'!$B$7,'model trendów jednoimiennych'!$B$11)</c:f>
              <c:numCache>
                <c:formatCode>General</c:formatCode>
                <c:ptCount val="3"/>
                <c:pt idx="0">
                  <c:v>746.29399999999998</c:v>
                </c:pt>
                <c:pt idx="1">
                  <c:v>905.50333333333322</c:v>
                </c:pt>
                <c:pt idx="2">
                  <c:v>1072.7666666666667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85-0641-B8C7-5C98A80AA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982960"/>
        <c:axId val="80962016"/>
      </c:lineChart>
      <c:catAx>
        <c:axId val="8098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962016"/>
        <c:crosses val="autoZero"/>
        <c:auto val="1"/>
        <c:lblAlgn val="ctr"/>
        <c:lblOffset val="100"/>
        <c:noMultiLvlLbl val="0"/>
      </c:catAx>
      <c:valAx>
        <c:axId val="8096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98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 IV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4736097575392482E-2"/>
                  <c:y val="0.351502179635209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val>
            <c:numRef>
              <c:f>('model trendów jednoimiennych'!$B$4,'model trendów jednoimiennych'!$B$8,'model trendów jednoimiennych'!$B$12)</c:f>
              <c:numCache>
                <c:formatCode>General</c:formatCode>
                <c:ptCount val="3"/>
                <c:pt idx="0">
                  <c:v>654.52133333333336</c:v>
                </c:pt>
                <c:pt idx="1">
                  <c:v>778.82466666666653</c:v>
                </c:pt>
                <c:pt idx="2">
                  <c:v>920.73166666666668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46-0849-A619-A1A1D1EB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702976"/>
        <c:axId val="1297809952"/>
      </c:lineChart>
      <c:catAx>
        <c:axId val="137370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97809952"/>
        <c:crosses val="autoZero"/>
        <c:auto val="1"/>
        <c:lblAlgn val="ctr"/>
        <c:lblOffset val="100"/>
        <c:noMultiLvlLbl val="0"/>
      </c:catAx>
      <c:valAx>
        <c:axId val="129780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370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0011865277575367E-2"/>
                  <c:y val="0.335633521943631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val>
            <c:numRef>
              <c:f>('model trendów jednoimiennych'!$B$5,'model trendów jednoimiennych'!$B$9,'model trendów jednoimiennych'!$B$13)</c:f>
              <c:numCache>
                <c:formatCode>General</c:formatCode>
                <c:ptCount val="3"/>
                <c:pt idx="0">
                  <c:v>629.98166666666668</c:v>
                </c:pt>
                <c:pt idx="1">
                  <c:v>722.48233333333337</c:v>
                </c:pt>
                <c:pt idx="2">
                  <c:v>880.55666666666673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E-5445-BF17-6516CDDEB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501103"/>
        <c:axId val="1888094159"/>
      </c:lineChart>
      <c:catAx>
        <c:axId val="1887501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8094159"/>
        <c:crosses val="autoZero"/>
        <c:auto val="1"/>
        <c:lblAlgn val="ctr"/>
        <c:lblOffset val="100"/>
        <c:noMultiLvlLbl val="0"/>
      </c:catAx>
      <c:valAx>
        <c:axId val="188809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750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29935</xdr:colOff>
      <xdr:row>7</xdr:row>
      <xdr:rowOff>178102</xdr:rowOff>
    </xdr:from>
    <xdr:to>
      <xdr:col>14</xdr:col>
      <xdr:colOff>428473</xdr:colOff>
      <xdr:row>21</xdr:row>
      <xdr:rowOff>169636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4E8B285-6A85-7495-7960-AEA37DA6D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37121</xdr:colOff>
      <xdr:row>20</xdr:row>
      <xdr:rowOff>34893</xdr:rowOff>
    </xdr:from>
    <xdr:to>
      <xdr:col>16</xdr:col>
      <xdr:colOff>588874</xdr:colOff>
      <xdr:row>33</xdr:row>
      <xdr:rowOff>131902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E2271DF-863C-7490-B31B-BCE778265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62</xdr:row>
      <xdr:rowOff>44939</xdr:rowOff>
    </xdr:from>
    <xdr:to>
      <xdr:col>4</xdr:col>
      <xdr:colOff>644769</xdr:colOff>
      <xdr:row>76</xdr:row>
      <xdr:rowOff>52754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A6B1E3A-F879-0D94-9134-66EF77B91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644770</xdr:colOff>
      <xdr:row>62</xdr:row>
      <xdr:rowOff>39077</xdr:rowOff>
    </xdr:from>
    <xdr:to>
      <xdr:col>9</xdr:col>
      <xdr:colOff>254001</xdr:colOff>
      <xdr:row>76</xdr:row>
      <xdr:rowOff>46892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60DC6973-317F-D943-9310-0ADAD713A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4</xdr:row>
      <xdr:rowOff>19050</xdr:rowOff>
    </xdr:from>
    <xdr:to>
      <xdr:col>10</xdr:col>
      <xdr:colOff>463550</xdr:colOff>
      <xdr:row>17</xdr:row>
      <xdr:rowOff>120650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3A6BBCA-8CB4-1C20-F77B-2484E5CD4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876300</xdr:colOff>
      <xdr:row>18</xdr:row>
      <xdr:rowOff>196850</xdr:rowOff>
    </xdr:from>
    <xdr:to>
      <xdr:col>7</xdr:col>
      <xdr:colOff>774700</xdr:colOff>
      <xdr:row>32</xdr:row>
      <xdr:rowOff>95250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78EAAB9-5A7A-4F5C-030D-89F6FFB7D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160865</xdr:colOff>
      <xdr:row>0</xdr:row>
      <xdr:rowOff>33867</xdr:rowOff>
    </xdr:from>
    <xdr:to>
      <xdr:col>14</xdr:col>
      <xdr:colOff>156632</xdr:colOff>
      <xdr:row>6</xdr:row>
      <xdr:rowOff>48684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A3E1F5F-71C6-86E0-F5DC-C29C7BFFF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183756</xdr:colOff>
      <xdr:row>7</xdr:row>
      <xdr:rowOff>17246</xdr:rowOff>
    </xdr:from>
    <xdr:to>
      <xdr:col>11</xdr:col>
      <xdr:colOff>26965</xdr:colOff>
      <xdr:row>14</xdr:row>
      <xdr:rowOff>72123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363B4E0-8B98-1403-8920-F16920E7C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118533</xdr:colOff>
      <xdr:row>7</xdr:row>
      <xdr:rowOff>84666</xdr:rowOff>
    </xdr:from>
    <xdr:to>
      <xdr:col>14</xdr:col>
      <xdr:colOff>169332</xdr:colOff>
      <xdr:row>14</xdr:row>
      <xdr:rowOff>101599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A7FA776-FD85-080F-F0D1-4D1EDDC74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160866</xdr:colOff>
      <xdr:row>0</xdr:row>
      <xdr:rowOff>28065</xdr:rowOff>
    </xdr:from>
    <xdr:to>
      <xdr:col>10</xdr:col>
      <xdr:colOff>798375</xdr:colOff>
      <xdr:row>6</xdr:row>
      <xdr:rowOff>76200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2FA0BFF6-2FED-EC69-FD02-A1D265878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392E-CC3F-FF4D-9FB7-D3D6DF86AEB6}">
  <dimension ref="A1:E61"/>
  <sheetViews>
    <sheetView zoomScale="84" workbookViewId="0">
      <selection activeCell="E34" sqref="E34"/>
    </sheetView>
  </sheetViews>
  <sheetFormatPr baseColWidth="10" defaultRowHeight="16" x14ac:dyDescent="0.2"/>
  <cols>
    <col min="4" max="4" width="15.5" customWidth="1"/>
    <col min="5" max="5" width="27.33203125" customWidth="1"/>
  </cols>
  <sheetData>
    <row r="1" spans="1:5" x14ac:dyDescent="0.2">
      <c r="A1" t="s">
        <v>1</v>
      </c>
      <c r="B1" t="s">
        <v>0</v>
      </c>
      <c r="D1" t="s">
        <v>62</v>
      </c>
      <c r="E1" t="s">
        <v>0</v>
      </c>
    </row>
    <row r="2" spans="1:5" x14ac:dyDescent="0.2">
      <c r="A2" s="1" t="s">
        <v>14</v>
      </c>
      <c r="B2" s="3">
        <v>2648.01</v>
      </c>
      <c r="D2">
        <v>1</v>
      </c>
      <c r="E2" s="2">
        <f>AVERAGE(B59:B61)</f>
        <v>1583.2333333333333</v>
      </c>
    </row>
    <row r="3" spans="1:5" x14ac:dyDescent="0.2">
      <c r="A3" s="1" t="s">
        <v>15</v>
      </c>
      <c r="B3" s="3">
        <v>2651.13</v>
      </c>
      <c r="D3">
        <v>2</v>
      </c>
      <c r="E3" s="4">
        <f>AVERAGE(B56:B58)</f>
        <v>1710.4333333333334</v>
      </c>
    </row>
    <row r="4" spans="1:5" x14ac:dyDescent="0.2">
      <c r="A4" s="1" t="s">
        <v>16</v>
      </c>
      <c r="B4" s="3">
        <v>2690.08</v>
      </c>
      <c r="D4">
        <v>3</v>
      </c>
      <c r="E4" s="4">
        <f>AVERAGE(B53:B55)</f>
        <v>1912.3533333333335</v>
      </c>
    </row>
    <row r="5" spans="1:5" x14ac:dyDescent="0.2">
      <c r="A5" s="1" t="s">
        <v>17</v>
      </c>
      <c r="B5" s="3">
        <v>2570.5500000000002</v>
      </c>
      <c r="D5">
        <v>4</v>
      </c>
      <c r="E5" s="4">
        <f>AVERAGE(B50:B52)</f>
        <v>1874.9966666666667</v>
      </c>
    </row>
    <row r="6" spans="1:5" x14ac:dyDescent="0.2">
      <c r="A6" s="1" t="s">
        <v>18</v>
      </c>
      <c r="B6" s="3">
        <v>2470.15</v>
      </c>
      <c r="D6">
        <v>5</v>
      </c>
      <c r="E6" s="4">
        <f>AVERAGE(B47:B49)</f>
        <v>1797.7933333333333</v>
      </c>
    </row>
    <row r="7" spans="1:5" x14ac:dyDescent="0.2">
      <c r="A7" s="1" t="s">
        <v>19</v>
      </c>
      <c r="B7" s="3">
        <v>2398.1999999999998</v>
      </c>
      <c r="D7">
        <v>6</v>
      </c>
      <c r="E7" s="4">
        <f>AVERAGE(B44:B46)</f>
        <v>1814.9566666666667</v>
      </c>
    </row>
    <row r="8" spans="1:5" x14ac:dyDescent="0.2">
      <c r="A8" s="1" t="s">
        <v>20</v>
      </c>
      <c r="B8" s="3">
        <v>2326.44</v>
      </c>
      <c r="D8">
        <v>7</v>
      </c>
      <c r="E8" s="4">
        <f>AVERAGE(B41:B43)</f>
        <v>1789.42</v>
      </c>
    </row>
    <row r="9" spans="1:5" x14ac:dyDescent="0.2">
      <c r="A9" s="1" t="s">
        <v>21</v>
      </c>
      <c r="B9" s="3">
        <v>2351.13</v>
      </c>
      <c r="D9">
        <v>8</v>
      </c>
      <c r="E9" s="4">
        <f>AVERAGE(B38:B40)</f>
        <v>1796.3466666666666</v>
      </c>
    </row>
    <row r="10" spans="1:5" x14ac:dyDescent="0.2">
      <c r="A10" s="1" t="s">
        <v>22</v>
      </c>
      <c r="B10" s="3">
        <v>2331.4499999999998</v>
      </c>
      <c r="D10">
        <v>9</v>
      </c>
      <c r="E10" s="4">
        <f>AVERAGE(B35:B37)</f>
        <v>1873.3833333333332</v>
      </c>
    </row>
    <row r="11" spans="1:5" x14ac:dyDescent="0.2">
      <c r="A11" s="1" t="s">
        <v>23</v>
      </c>
      <c r="B11" s="3">
        <v>2158.0100000000002</v>
      </c>
      <c r="D11">
        <v>10</v>
      </c>
      <c r="E11" s="4">
        <f>AVERAGE(B32:B34)</f>
        <v>1873.9766666666665</v>
      </c>
    </row>
    <row r="12" spans="1:5" x14ac:dyDescent="0.2">
      <c r="A12" s="1" t="s">
        <v>24</v>
      </c>
      <c r="B12" s="3">
        <v>2023.24</v>
      </c>
      <c r="D12">
        <v>11</v>
      </c>
      <c r="E12" s="4">
        <f>AVERAGE(B29:B31)</f>
        <v>1726.0266666666666</v>
      </c>
    </row>
    <row r="13" spans="1:5" x14ac:dyDescent="0.2">
      <c r="A13" s="1" t="s">
        <v>25</v>
      </c>
      <c r="B13" s="3">
        <v>2034.04</v>
      </c>
      <c r="D13">
        <v>12</v>
      </c>
      <c r="E13" s="4">
        <f>AVERAGE(B26:B28)</f>
        <v>1729.0233333333333</v>
      </c>
    </row>
    <row r="14" spans="1:5" x14ac:dyDescent="0.2">
      <c r="A14" s="1" t="s">
        <v>26</v>
      </c>
      <c r="B14" s="3">
        <v>2026.18</v>
      </c>
      <c r="D14">
        <v>13</v>
      </c>
      <c r="E14" s="4">
        <f>AVERAGE(B23:B25)</f>
        <v>1888.3266666666666</v>
      </c>
    </row>
    <row r="15" spans="1:5" x14ac:dyDescent="0.2">
      <c r="A15" s="1" t="s">
        <v>27</v>
      </c>
      <c r="B15" s="3">
        <v>1984.11</v>
      </c>
      <c r="D15">
        <v>14</v>
      </c>
      <c r="E15" s="4">
        <f>AVERAGE(B20:B22)</f>
        <v>1978.2666666666667</v>
      </c>
    </row>
    <row r="16" spans="1:5" x14ac:dyDescent="0.2">
      <c r="A16" s="1" t="s">
        <v>28</v>
      </c>
      <c r="B16" s="3">
        <v>1916.25</v>
      </c>
      <c r="D16">
        <v>15</v>
      </c>
      <c r="E16" s="4">
        <f>AVERAGE(B17:B19)</f>
        <v>1928.5566666666666</v>
      </c>
    </row>
    <row r="17" spans="1:5" x14ac:dyDescent="0.2">
      <c r="A17" s="1" t="s">
        <v>29</v>
      </c>
      <c r="B17" s="3">
        <v>1915.95</v>
      </c>
      <c r="D17">
        <v>16</v>
      </c>
      <c r="E17" s="4">
        <f>AVERAGE(B14:B16)</f>
        <v>1975.5133333333333</v>
      </c>
    </row>
    <row r="18" spans="1:5" x14ac:dyDescent="0.2">
      <c r="A18" s="1" t="s">
        <v>30</v>
      </c>
      <c r="B18" s="3">
        <v>1918.7</v>
      </c>
      <c r="D18">
        <v>17</v>
      </c>
      <c r="E18" s="4">
        <f>AVERAGE(B11:B13)</f>
        <v>2071.7633333333333</v>
      </c>
    </row>
    <row r="19" spans="1:5" x14ac:dyDescent="0.2">
      <c r="A19" s="1" t="s">
        <v>31</v>
      </c>
      <c r="B19" s="3">
        <v>1951.02</v>
      </c>
      <c r="D19">
        <v>18</v>
      </c>
      <c r="E19" s="4">
        <f>AVERAGE(B8:B10)</f>
        <v>2336.3399999999997</v>
      </c>
    </row>
    <row r="20" spans="1:5" x14ac:dyDescent="0.2">
      <c r="A20" s="1" t="s">
        <v>32</v>
      </c>
      <c r="B20" s="3">
        <v>1942.9</v>
      </c>
      <c r="D20">
        <v>19</v>
      </c>
      <c r="E20" s="4">
        <f>AVERAGE(B5:B7)</f>
        <v>2479.6333333333337</v>
      </c>
    </row>
    <row r="21" spans="1:5" x14ac:dyDescent="0.2">
      <c r="A21" s="1" t="s">
        <v>33</v>
      </c>
      <c r="B21" s="3">
        <v>1992.13</v>
      </c>
      <c r="D21">
        <v>20</v>
      </c>
      <c r="E21" s="4">
        <f>AVERAGE(B2:B4)</f>
        <v>2663.0733333333333</v>
      </c>
    </row>
    <row r="22" spans="1:5" x14ac:dyDescent="0.2">
      <c r="A22" s="1" t="s">
        <v>34</v>
      </c>
      <c r="B22" s="3">
        <v>1999.77</v>
      </c>
    </row>
    <row r="23" spans="1:5" x14ac:dyDescent="0.2">
      <c r="A23" s="1" t="s">
        <v>35</v>
      </c>
      <c r="B23" s="3">
        <v>1912.73</v>
      </c>
    </row>
    <row r="24" spans="1:5" x14ac:dyDescent="0.2">
      <c r="A24" s="1" t="s">
        <v>36</v>
      </c>
      <c r="B24" s="3">
        <v>1854.54</v>
      </c>
    </row>
    <row r="25" spans="1:5" x14ac:dyDescent="0.2">
      <c r="A25" s="1" t="s">
        <v>37</v>
      </c>
      <c r="B25" s="3">
        <v>1897.71</v>
      </c>
    </row>
    <row r="26" spans="1:5" x14ac:dyDescent="0.2">
      <c r="A26" s="1" t="s">
        <v>38</v>
      </c>
      <c r="B26" s="3">
        <v>1797.55</v>
      </c>
    </row>
    <row r="27" spans="1:5" x14ac:dyDescent="0.2">
      <c r="A27" s="1" t="s">
        <v>39</v>
      </c>
      <c r="B27" s="3">
        <v>1725.07</v>
      </c>
    </row>
    <row r="28" spans="1:5" x14ac:dyDescent="0.2">
      <c r="A28" s="1" t="s">
        <v>40</v>
      </c>
      <c r="B28" s="3">
        <v>1664.45</v>
      </c>
    </row>
    <row r="29" spans="1:5" x14ac:dyDescent="0.2">
      <c r="A29" s="1" t="s">
        <v>41</v>
      </c>
      <c r="B29" s="3">
        <v>1680.78</v>
      </c>
    </row>
    <row r="30" spans="1:5" x14ac:dyDescent="0.2">
      <c r="A30" s="1" t="s">
        <v>42</v>
      </c>
      <c r="B30" s="3">
        <v>1764.56</v>
      </c>
    </row>
    <row r="31" spans="1:5" x14ac:dyDescent="0.2">
      <c r="A31" s="1" t="s">
        <v>43</v>
      </c>
      <c r="B31" s="3">
        <v>1732.74</v>
      </c>
    </row>
    <row r="32" spans="1:5" x14ac:dyDescent="0.2">
      <c r="A32" s="1" t="s">
        <v>44</v>
      </c>
      <c r="B32" s="3">
        <v>1836.57</v>
      </c>
    </row>
    <row r="33" spans="1:2" x14ac:dyDescent="0.2">
      <c r="A33" s="1" t="s">
        <v>45</v>
      </c>
      <c r="B33" s="3">
        <v>1848.5</v>
      </c>
    </row>
    <row r="34" spans="1:2" x14ac:dyDescent="0.2">
      <c r="A34" s="1" t="s">
        <v>46</v>
      </c>
      <c r="B34" s="3">
        <v>1936.86</v>
      </c>
    </row>
    <row r="35" spans="1:2" x14ac:dyDescent="0.2">
      <c r="A35" s="1" t="s">
        <v>47</v>
      </c>
      <c r="B35" s="3">
        <v>1947.83</v>
      </c>
    </row>
    <row r="36" spans="1:2" x14ac:dyDescent="0.2">
      <c r="A36" s="1" t="s">
        <v>48</v>
      </c>
      <c r="B36" s="3">
        <v>1856.3</v>
      </c>
    </row>
    <row r="37" spans="1:2" x14ac:dyDescent="0.2">
      <c r="A37" s="1" t="s">
        <v>49</v>
      </c>
      <c r="B37" s="3">
        <v>1816.02</v>
      </c>
    </row>
    <row r="38" spans="1:2" x14ac:dyDescent="0.2">
      <c r="A38" s="1" t="s">
        <v>50</v>
      </c>
      <c r="B38" s="3">
        <v>1790.43</v>
      </c>
    </row>
    <row r="39" spans="1:2" x14ac:dyDescent="0.2">
      <c r="A39" s="1" t="s">
        <v>51</v>
      </c>
      <c r="B39" s="3">
        <v>1821.76</v>
      </c>
    </row>
    <row r="40" spans="1:2" x14ac:dyDescent="0.2">
      <c r="A40" s="1" t="s">
        <v>52</v>
      </c>
      <c r="B40" s="3">
        <v>1776.85</v>
      </c>
    </row>
    <row r="41" spans="1:2" x14ac:dyDescent="0.2">
      <c r="A41" s="1" t="s">
        <v>53</v>
      </c>
      <c r="B41" s="3">
        <v>1775.14</v>
      </c>
    </row>
    <row r="42" spans="1:2" x14ac:dyDescent="0.2">
      <c r="A42" s="1" t="s">
        <v>54</v>
      </c>
      <c r="B42" s="3">
        <v>1785.28</v>
      </c>
    </row>
    <row r="43" spans="1:2" x14ac:dyDescent="0.2">
      <c r="A43" s="1" t="s">
        <v>55</v>
      </c>
      <c r="B43" s="3">
        <v>1807.84</v>
      </c>
    </row>
    <row r="44" spans="1:2" x14ac:dyDescent="0.2">
      <c r="A44" s="1" t="s">
        <v>56</v>
      </c>
      <c r="B44" s="3">
        <v>1834.57</v>
      </c>
    </row>
    <row r="45" spans="1:2" x14ac:dyDescent="0.2">
      <c r="A45" s="1" t="s">
        <v>57</v>
      </c>
      <c r="B45" s="3">
        <v>1850.26</v>
      </c>
    </row>
    <row r="46" spans="1:2" x14ac:dyDescent="0.2">
      <c r="A46" s="1" t="s">
        <v>58</v>
      </c>
      <c r="B46" s="3">
        <v>1760.04</v>
      </c>
    </row>
    <row r="47" spans="1:2" x14ac:dyDescent="0.2">
      <c r="A47" s="1" t="s">
        <v>59</v>
      </c>
      <c r="B47" s="3">
        <v>1718.23</v>
      </c>
    </row>
    <row r="48" spans="1:2" x14ac:dyDescent="0.2">
      <c r="A48" s="1" t="s">
        <v>60</v>
      </c>
      <c r="B48" s="3">
        <v>1808.17</v>
      </c>
    </row>
    <row r="49" spans="1:2" x14ac:dyDescent="0.2">
      <c r="A49" s="1" t="s">
        <v>61</v>
      </c>
      <c r="B49" s="3">
        <v>1866.98</v>
      </c>
    </row>
    <row r="50" spans="1:2" x14ac:dyDescent="0.2">
      <c r="A50" s="1" t="s">
        <v>2</v>
      </c>
      <c r="B50" s="3">
        <v>1858.42</v>
      </c>
    </row>
    <row r="51" spans="1:2" x14ac:dyDescent="0.2">
      <c r="A51" s="1" t="s">
        <v>3</v>
      </c>
      <c r="B51" s="3">
        <v>1866.3</v>
      </c>
    </row>
    <row r="52" spans="1:2" x14ac:dyDescent="0.2">
      <c r="A52" s="1" t="s">
        <v>4</v>
      </c>
      <c r="B52" s="3">
        <v>1900.27</v>
      </c>
    </row>
    <row r="53" spans="1:2" x14ac:dyDescent="0.2">
      <c r="A53" s="1" t="s">
        <v>5</v>
      </c>
      <c r="B53" s="3">
        <v>1921.92</v>
      </c>
    </row>
    <row r="54" spans="1:2" x14ac:dyDescent="0.2">
      <c r="A54" s="1" t="s">
        <v>6</v>
      </c>
      <c r="B54" s="3">
        <v>1968.63</v>
      </c>
    </row>
    <row r="55" spans="1:2" x14ac:dyDescent="0.2">
      <c r="A55" s="1" t="s">
        <v>7</v>
      </c>
      <c r="B55" s="3">
        <v>1846.51</v>
      </c>
    </row>
    <row r="56" spans="1:2" x14ac:dyDescent="0.2">
      <c r="A56" s="1" t="s">
        <v>8</v>
      </c>
      <c r="B56" s="3">
        <v>1732.22</v>
      </c>
    </row>
    <row r="57" spans="1:2" x14ac:dyDescent="0.2">
      <c r="A57" s="1" t="s">
        <v>9</v>
      </c>
      <c r="B57" s="3">
        <v>1715.91</v>
      </c>
    </row>
    <row r="58" spans="1:2" x14ac:dyDescent="0.2">
      <c r="A58" s="1" t="s">
        <v>10</v>
      </c>
      <c r="B58" s="3">
        <v>1683.17</v>
      </c>
    </row>
    <row r="59" spans="1:2" x14ac:dyDescent="0.2">
      <c r="A59" s="1" t="s">
        <v>11</v>
      </c>
      <c r="B59" s="3">
        <v>1591.93</v>
      </c>
    </row>
    <row r="60" spans="1:2" x14ac:dyDescent="0.2">
      <c r="A60" s="1" t="s">
        <v>12</v>
      </c>
      <c r="B60" s="3">
        <v>1597.1</v>
      </c>
    </row>
    <row r="61" spans="1:2" x14ac:dyDescent="0.2">
      <c r="A61" s="1" t="s">
        <v>13</v>
      </c>
      <c r="B61" s="3">
        <v>1560.67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A2FB-0A0F-D749-A001-1CB39F97B6EE}">
  <dimension ref="A1:U73"/>
  <sheetViews>
    <sheetView tabSelected="1" zoomScale="75" zoomScaleNormal="100" workbookViewId="0">
      <selection activeCell="I34" sqref="I34:L34"/>
    </sheetView>
  </sheetViews>
  <sheetFormatPr baseColWidth="10" defaultRowHeight="16" x14ac:dyDescent="0.2"/>
  <cols>
    <col min="2" max="2" width="19.33203125" customWidth="1"/>
    <col min="7" max="7" width="22" customWidth="1"/>
    <col min="16" max="16" width="30.6640625" customWidth="1"/>
  </cols>
  <sheetData>
    <row r="1" spans="1:20" x14ac:dyDescent="0.2">
      <c r="A1" t="s">
        <v>63</v>
      </c>
    </row>
    <row r="2" spans="1:20" x14ac:dyDescent="0.2">
      <c r="K2" t="s">
        <v>248</v>
      </c>
      <c r="N2" s="21" t="s">
        <v>128</v>
      </c>
      <c r="O2" s="21">
        <f>CHIINV(0.05,2)</f>
        <v>5.9914645471079817</v>
      </c>
    </row>
    <row r="3" spans="1:20" x14ac:dyDescent="0.2">
      <c r="K3" t="s">
        <v>117</v>
      </c>
      <c r="L3" t="s">
        <v>118</v>
      </c>
      <c r="N3" s="21" t="s">
        <v>129</v>
      </c>
      <c r="O3" s="21">
        <f>SQRT(1/20*E34)</f>
        <v>163.97274930593488</v>
      </c>
    </row>
    <row r="4" spans="1:20" x14ac:dyDescent="0.2">
      <c r="A4" t="s">
        <v>133</v>
      </c>
      <c r="K4" s="7" cm="1">
        <f t="array" ref="K4:L8">LINEST(A14:A33,B14:B33,1,1)</f>
        <v>35.104694235588958</v>
      </c>
      <c r="L4" s="7">
        <v>1571.571543859649</v>
      </c>
      <c r="N4" s="21" t="s">
        <v>130</v>
      </c>
      <c r="O4" s="21">
        <f>(1/20*F34/O3^3)^2</f>
        <v>0.31037282454921999</v>
      </c>
    </row>
    <row r="5" spans="1:20" x14ac:dyDescent="0.2">
      <c r="A5" t="s">
        <v>134</v>
      </c>
      <c r="C5" t="s">
        <v>135</v>
      </c>
      <c r="K5">
        <v>6.7025428801983189</v>
      </c>
      <c r="L5">
        <v>80.290756829405623</v>
      </c>
      <c r="N5" s="21" t="s">
        <v>131</v>
      </c>
      <c r="O5" s="21">
        <f>1/20*G34/O3^4</f>
        <v>2.7803970169866763</v>
      </c>
    </row>
    <row r="6" spans="1:20" x14ac:dyDescent="0.2">
      <c r="J6" t="s">
        <v>119</v>
      </c>
      <c r="K6">
        <v>0.60380002451252424</v>
      </c>
      <c r="L6">
        <v>172.84245400218265</v>
      </c>
      <c r="M6" t="s">
        <v>120</v>
      </c>
      <c r="N6" s="21" t="s">
        <v>132</v>
      </c>
      <c r="O6" s="21">
        <f>20*(1/10*O4+1/40*(O5-3)^2)</f>
        <v>0.6448583841726151</v>
      </c>
      <c r="P6" t="s">
        <v>249</v>
      </c>
    </row>
    <row r="7" spans="1:20" x14ac:dyDescent="0.2">
      <c r="K7">
        <v>27.431603012729095</v>
      </c>
      <c r="L7">
        <v>18</v>
      </c>
      <c r="N7" s="21" t="s">
        <v>243</v>
      </c>
      <c r="O7" s="20">
        <f>AVERAGE(A14:A33)</f>
        <v>1940.1708333333331</v>
      </c>
    </row>
    <row r="8" spans="1:20" x14ac:dyDescent="0.2">
      <c r="K8">
        <v>819505.80565383856</v>
      </c>
      <c r="L8">
        <v>537741.2502989393</v>
      </c>
      <c r="N8" s="21" t="s">
        <v>251</v>
      </c>
      <c r="O8" s="21">
        <f>STDEV(A14:A33)</f>
        <v>267.27150161673148</v>
      </c>
    </row>
    <row r="9" spans="1:20" x14ac:dyDescent="0.2">
      <c r="N9" s="21" t="s">
        <v>252</v>
      </c>
      <c r="O9" s="28">
        <f>O8/O7</f>
        <v>0.13775668463046759</v>
      </c>
    </row>
    <row r="13" spans="1:20" x14ac:dyDescent="0.2">
      <c r="A13" s="42" t="s">
        <v>0</v>
      </c>
      <c r="B13" s="42" t="s">
        <v>111</v>
      </c>
      <c r="C13" s="42" t="s">
        <v>121</v>
      </c>
      <c r="D13" s="42" t="s">
        <v>112</v>
      </c>
      <c r="E13" s="42" t="s">
        <v>113</v>
      </c>
      <c r="F13" s="42" t="s">
        <v>114</v>
      </c>
      <c r="G13" s="42" t="s">
        <v>115</v>
      </c>
      <c r="H13" s="42" t="s">
        <v>116</v>
      </c>
      <c r="I13" s="42" t="s">
        <v>247</v>
      </c>
      <c r="J13" s="42" t="s">
        <v>246</v>
      </c>
      <c r="K13" s="42" t="s">
        <v>245</v>
      </c>
      <c r="L13" s="42" t="s">
        <v>244</v>
      </c>
      <c r="N13" s="21" t="s">
        <v>250</v>
      </c>
      <c r="O13" s="21"/>
    </row>
    <row r="14" spans="1:20" x14ac:dyDescent="0.2">
      <c r="A14" s="20">
        <v>1583.2333333333333</v>
      </c>
      <c r="B14" s="21">
        <v>1</v>
      </c>
      <c r="C14" s="21">
        <f t="shared" ref="C14:C36" si="0">$K$4*B14+$L$4</f>
        <v>1606.676238095238</v>
      </c>
      <c r="D14" s="21">
        <f>(B14-$H$14)^2</f>
        <v>90.25</v>
      </c>
      <c r="E14" s="20">
        <f>(A14-C14)^2</f>
        <v>549.56978367573072</v>
      </c>
      <c r="F14" s="21">
        <f>(A14-C14)^3</f>
        <v>-12883.512098730684</v>
      </c>
      <c r="G14" s="21">
        <f>(A14-C14)^4</f>
        <v>302026.94712938945</v>
      </c>
      <c r="H14" s="33">
        <f>AVERAGE(B14:B33)</f>
        <v>10.5</v>
      </c>
      <c r="I14" s="21">
        <f>ABS(A14-C14)</f>
        <v>23.442904761904629</v>
      </c>
      <c r="J14" s="21">
        <f>ABS((A14-C14)/A14)</f>
        <v>1.4806980290484427E-2</v>
      </c>
      <c r="K14" s="32">
        <f>(A14-C14)^2</f>
        <v>549.56978367573072</v>
      </c>
      <c r="L14" s="21">
        <f>((A14-C14)/A14)^2</f>
        <v>2.1924666532279429E-4</v>
      </c>
      <c r="R14" s="21" t="s">
        <v>121</v>
      </c>
    </row>
    <row r="15" spans="1:20" x14ac:dyDescent="0.2">
      <c r="A15" s="20">
        <v>1710.4333333333334</v>
      </c>
      <c r="B15" s="21">
        <v>2</v>
      </c>
      <c r="C15" s="21">
        <f t="shared" si="0"/>
        <v>1641.7809323308268</v>
      </c>
      <c r="D15" s="21">
        <f t="shared" ref="D15:D24" si="1">(B15-$H$14)^2</f>
        <v>72.25</v>
      </c>
      <c r="E15" s="21">
        <f t="shared" ref="E15:E24" si="2">(A15-C15)^2</f>
        <v>4713.1521634089722</v>
      </c>
      <c r="F15" s="21">
        <f t="shared" ref="F15:F24" si="3">(A15-C15)^3</f>
        <v>323569.21230818436</v>
      </c>
      <c r="G15" s="21">
        <f t="shared" ref="G15:G24" si="4">(A15-C15)^4</f>
        <v>22213803.315446675</v>
      </c>
      <c r="I15" s="21">
        <f t="shared" ref="I15:I33" si="5">ABS(A15-C15)</f>
        <v>68.652401002506622</v>
      </c>
      <c r="J15" s="21">
        <f t="shared" ref="J15:J33" si="6">ABS((A15-C15)/A15)</f>
        <v>4.0137431646467728E-2</v>
      </c>
      <c r="K15" s="32">
        <f t="shared" ref="K15:K33" si="7">(A15-C15)^2</f>
        <v>4713.1521634089722</v>
      </c>
      <c r="L15" s="21">
        <f>((A15-C15)/A15)^2</f>
        <v>1.611013419174869E-3</v>
      </c>
      <c r="N15" s="21" t="s">
        <v>122</v>
      </c>
      <c r="O15" s="21" t="s">
        <v>64</v>
      </c>
      <c r="P15" s="21" t="s">
        <v>123</v>
      </c>
      <c r="Q15" s="21" t="s">
        <v>124</v>
      </c>
      <c r="R15" s="21" t="s">
        <v>125</v>
      </c>
      <c r="S15" s="21" t="s">
        <v>126</v>
      </c>
      <c r="T15" s="21" t="s">
        <v>127</v>
      </c>
    </row>
    <row r="16" spans="1:20" x14ac:dyDescent="0.2">
      <c r="A16" s="20">
        <v>1912.3533333333335</v>
      </c>
      <c r="B16" s="21">
        <v>3</v>
      </c>
      <c r="C16" s="21">
        <f t="shared" si="0"/>
        <v>1676.8856265664158</v>
      </c>
      <c r="D16" s="21">
        <f t="shared" si="1"/>
        <v>56.25</v>
      </c>
      <c r="E16" s="21">
        <f t="shared" si="2"/>
        <v>55445.040930071125</v>
      </c>
      <c r="F16" s="21">
        <f t="shared" si="3"/>
        <v>13055516.639401736</v>
      </c>
      <c r="G16" s="21">
        <f t="shared" si="4"/>
        <v>3074152563.7372622</v>
      </c>
      <c r="I16" s="21">
        <f t="shared" si="5"/>
        <v>235.46770676691767</v>
      </c>
      <c r="J16" s="21">
        <f t="shared" si="6"/>
        <v>0.12312981218616381</v>
      </c>
      <c r="K16" s="32">
        <f t="shared" si="7"/>
        <v>55445.040930071125</v>
      </c>
      <c r="L16" s="21">
        <f t="shared" ref="L16:L33" si="8">((A16-C16)/A16)^2</f>
        <v>1.5160950648999975E-2</v>
      </c>
      <c r="N16" s="21">
        <f>SQRT(1/(1-0.95))</f>
        <v>4.4721359549995778</v>
      </c>
      <c r="O16" s="21">
        <v>21</v>
      </c>
      <c r="P16" s="30">
        <v>2309</v>
      </c>
      <c r="Q16" s="21">
        <f>$L$6*SQRT((O16-$H$14)^2/$D$34+1/20+1)</f>
        <v>190.58100518607665</v>
      </c>
      <c r="R16" s="21">
        <f>P16-$N$16*Q16</f>
        <v>1456.6958343673855</v>
      </c>
      <c r="S16" s="21">
        <f>P16+$N$16*Q16</f>
        <v>3161.3041656326145</v>
      </c>
      <c r="T16" s="31">
        <f>Q16/P16</f>
        <v>8.2538330526668105E-2</v>
      </c>
    </row>
    <row r="17" spans="1:20" x14ac:dyDescent="0.2">
      <c r="A17" s="20">
        <v>1874.9966666666667</v>
      </c>
      <c r="B17" s="21">
        <v>4</v>
      </c>
      <c r="C17" s="21">
        <f t="shared" si="0"/>
        <v>1711.9903208020048</v>
      </c>
      <c r="D17" s="21">
        <f t="shared" si="1"/>
        <v>42.25</v>
      </c>
      <c r="E17" s="21">
        <f t="shared" si="2"/>
        <v>26571.068792149763</v>
      </c>
      <c r="F17" s="21">
        <f t="shared" si="3"/>
        <v>4331252.8295268873</v>
      </c>
      <c r="G17" s="21">
        <f t="shared" si="4"/>
        <v>706021696.75715506</v>
      </c>
      <c r="I17" s="21">
        <f t="shared" si="5"/>
        <v>163.00634586466185</v>
      </c>
      <c r="J17" s="21">
        <f t="shared" si="6"/>
        <v>8.6936872348926053E-2</v>
      </c>
      <c r="K17" s="32">
        <f t="shared" si="7"/>
        <v>26571.068792149763</v>
      </c>
      <c r="L17" s="21">
        <f t="shared" si="8"/>
        <v>7.558019773813463E-3</v>
      </c>
      <c r="N17" s="21"/>
      <c r="O17" s="21">
        <v>22</v>
      </c>
      <c r="P17" s="30">
        <v>2344</v>
      </c>
      <c r="Q17" s="21">
        <f>$L$6*SQRT((O17-$H$14)^2/$D$34+1/20+1)</f>
        <v>193.15654097408947</v>
      </c>
      <c r="R17" s="21">
        <f>P17-$N$16*Q17</f>
        <v>1480.1776881664255</v>
      </c>
      <c r="S17" s="21">
        <f>P17+$N$16*Q17</f>
        <v>3207.8223118335745</v>
      </c>
      <c r="T17" s="31">
        <f t="shared" ref="T17" si="9">Q17/P17</f>
        <v>8.2404667651062052E-2</v>
      </c>
    </row>
    <row r="18" spans="1:20" x14ac:dyDescent="0.2">
      <c r="A18" s="20">
        <v>1797.7933333333333</v>
      </c>
      <c r="B18" s="21">
        <v>5</v>
      </c>
      <c r="C18" s="21">
        <f t="shared" si="0"/>
        <v>1747.0950150375938</v>
      </c>
      <c r="D18" s="21">
        <f t="shared" si="1"/>
        <v>30.25</v>
      </c>
      <c r="E18" s="21">
        <f t="shared" si="2"/>
        <v>2570.3194780161098</v>
      </c>
      <c r="F18" s="21">
        <f t="shared" si="3"/>
        <v>130310.87501819963</v>
      </c>
      <c r="G18" s="21">
        <f t="shared" si="4"/>
        <v>6606542.2190690069</v>
      </c>
      <c r="I18" s="21">
        <f t="shared" si="5"/>
        <v>50.698318295739455</v>
      </c>
      <c r="J18" s="21">
        <f t="shared" si="6"/>
        <v>2.8200303870155333E-2</v>
      </c>
      <c r="K18" s="32">
        <f t="shared" si="7"/>
        <v>2570.3194780161098</v>
      </c>
      <c r="L18" s="21">
        <f t="shared" si="8"/>
        <v>7.9525713836909782E-4</v>
      </c>
      <c r="N18" s="21"/>
      <c r="O18" s="21">
        <v>23</v>
      </c>
      <c r="P18" s="30">
        <v>2379</v>
      </c>
      <c r="Q18" s="21">
        <f>$L$6*SQRT((O18-$H$14)^2/$D$34+1/20+1)</f>
        <v>195.92760720872553</v>
      </c>
      <c r="R18" s="21">
        <f>P18-$N$16*Q18</f>
        <v>1502.7851032248241</v>
      </c>
      <c r="S18" s="21">
        <f>P18+$N$16*Q18</f>
        <v>3255.2148967751759</v>
      </c>
      <c r="T18" s="31">
        <f>Q18/P18</f>
        <v>8.2357127872520197E-2</v>
      </c>
    </row>
    <row r="19" spans="1:20" x14ac:dyDescent="0.2">
      <c r="A19" s="20">
        <v>1814.9566666666667</v>
      </c>
      <c r="B19" s="21">
        <v>6</v>
      </c>
      <c r="C19" s="21">
        <f t="shared" si="0"/>
        <v>1782.1997092731826</v>
      </c>
      <c r="D19" s="21">
        <f t="shared" si="1"/>
        <v>20.25</v>
      </c>
      <c r="E19" s="21">
        <f t="shared" si="2"/>
        <v>1073.0182576785307</v>
      </c>
      <c r="F19" s="21">
        <f t="shared" si="3"/>
        <v>35148.813349206146</v>
      </c>
      <c r="G19" s="21">
        <f t="shared" si="4"/>
        <v>1151368.1813114698</v>
      </c>
      <c r="I19" s="21">
        <f t="shared" si="5"/>
        <v>32.756957393484072</v>
      </c>
      <c r="J19" s="21">
        <f t="shared" si="6"/>
        <v>1.8048341315853679E-2</v>
      </c>
      <c r="K19" s="32">
        <f t="shared" si="7"/>
        <v>1073.0182576785307</v>
      </c>
      <c r="L19" s="21">
        <f t="shared" si="8"/>
        <v>3.2574262425355088E-4</v>
      </c>
    </row>
    <row r="20" spans="1:20" x14ac:dyDescent="0.2">
      <c r="A20" s="20">
        <v>1789.42</v>
      </c>
      <c r="B20" s="21">
        <v>7</v>
      </c>
      <c r="C20" s="21">
        <f t="shared" si="0"/>
        <v>1817.3044035087717</v>
      </c>
      <c r="D20" s="21">
        <f t="shared" si="1"/>
        <v>12.25</v>
      </c>
      <c r="E20" s="21">
        <f t="shared" si="2"/>
        <v>777.53995903999305</v>
      </c>
      <c r="F20" s="21">
        <f t="shared" si="3"/>
        <v>-21681.237962064897</v>
      </c>
      <c r="G20" s="21">
        <f t="shared" si="4"/>
        <v>604568.38790391409</v>
      </c>
      <c r="I20" s="21">
        <f t="shared" si="5"/>
        <v>27.884403508771584</v>
      </c>
      <c r="J20" s="21">
        <f t="shared" si="6"/>
        <v>1.5582928272161697E-2</v>
      </c>
      <c r="K20" s="32">
        <f t="shared" si="7"/>
        <v>777.53995903999305</v>
      </c>
      <c r="L20" s="21">
        <f t="shared" si="8"/>
        <v>2.4282765353533635E-4</v>
      </c>
    </row>
    <row r="21" spans="1:20" x14ac:dyDescent="0.2">
      <c r="A21" s="20">
        <v>1796.3466666666666</v>
      </c>
      <c r="B21" s="21">
        <v>8</v>
      </c>
      <c r="C21" s="21">
        <f t="shared" si="0"/>
        <v>1852.4090977443607</v>
      </c>
      <c r="D21" s="21">
        <f t="shared" si="1"/>
        <v>6.25</v>
      </c>
      <c r="E21" s="21">
        <f t="shared" si="2"/>
        <v>3142.9961783412014</v>
      </c>
      <c r="F21" s="21">
        <f t="shared" si="3"/>
        <v>-176204.00662570956</v>
      </c>
      <c r="G21" s="21">
        <f t="shared" si="4"/>
        <v>9878424.977067396</v>
      </c>
      <c r="I21" s="21">
        <f t="shared" si="5"/>
        <v>56.0624310776941</v>
      </c>
      <c r="J21" s="21">
        <f t="shared" si="6"/>
        <v>3.1209138034433277E-2</v>
      </c>
      <c r="K21" s="32">
        <f t="shared" si="7"/>
        <v>3142.9961783412014</v>
      </c>
      <c r="L21" s="21">
        <f t="shared" si="8"/>
        <v>9.7401029685230975E-4</v>
      </c>
    </row>
    <row r="22" spans="1:20" x14ac:dyDescent="0.2">
      <c r="A22" s="20">
        <v>1873.3833333333332</v>
      </c>
      <c r="B22" s="21">
        <v>9</v>
      </c>
      <c r="C22" s="21">
        <f t="shared" si="0"/>
        <v>1887.5137919799495</v>
      </c>
      <c r="D22" s="21">
        <f t="shared" si="1"/>
        <v>2.25</v>
      </c>
      <c r="E22" s="21">
        <f t="shared" si="2"/>
        <v>199.66986156373227</v>
      </c>
      <c r="F22" s="21">
        <f t="shared" si="3"/>
        <v>-2821.4267218019127</v>
      </c>
      <c r="G22" s="21">
        <f t="shared" si="4"/>
        <v>39868.05361688001</v>
      </c>
      <c r="I22" s="21">
        <f t="shared" si="5"/>
        <v>14.130458646616262</v>
      </c>
      <c r="J22" s="21">
        <f t="shared" si="6"/>
        <v>7.5427481365886659E-3</v>
      </c>
      <c r="K22" s="32">
        <f t="shared" si="7"/>
        <v>199.66986156373227</v>
      </c>
      <c r="L22" s="21">
        <f t="shared" si="8"/>
        <v>5.6893049452011793E-5</v>
      </c>
    </row>
    <row r="23" spans="1:20" x14ac:dyDescent="0.2">
      <c r="A23" s="20">
        <v>1873.9766666666665</v>
      </c>
      <c r="B23" s="21">
        <v>10</v>
      </c>
      <c r="C23" s="21">
        <f t="shared" si="0"/>
        <v>1922.6184862155385</v>
      </c>
      <c r="D23" s="21">
        <f t="shared" si="1"/>
        <v>0.25</v>
      </c>
      <c r="E23" s="21">
        <f t="shared" si="2"/>
        <v>2366.0266090250298</v>
      </c>
      <c r="F23" s="21">
        <f t="shared" si="3"/>
        <v>-115087.8393640251</v>
      </c>
      <c r="G23" s="21">
        <f t="shared" si="4"/>
        <v>5598081.9146144809</v>
      </c>
      <c r="I23" s="21">
        <f t="shared" si="5"/>
        <v>48.641819548872036</v>
      </c>
      <c r="J23" s="21">
        <f t="shared" si="6"/>
        <v>2.595647022403625E-2</v>
      </c>
      <c r="K23" s="32">
        <f t="shared" si="7"/>
        <v>2366.0266090250298</v>
      </c>
      <c r="L23" s="21">
        <f t="shared" si="8"/>
        <v>6.7373834649128044E-4</v>
      </c>
      <c r="S23" s="8"/>
    </row>
    <row r="24" spans="1:20" x14ac:dyDescent="0.2">
      <c r="A24" s="20">
        <v>1726.0266666666666</v>
      </c>
      <c r="B24" s="21">
        <v>11</v>
      </c>
      <c r="C24" s="21">
        <f t="shared" si="0"/>
        <v>1957.7231804511275</v>
      </c>
      <c r="D24" s="21">
        <f t="shared" si="1"/>
        <v>0.25</v>
      </c>
      <c r="E24" s="21">
        <f t="shared" si="2"/>
        <v>53683.274499872867</v>
      </c>
      <c r="F24" s="21">
        <f t="shared" si="3"/>
        <v>-12438227.55015479</v>
      </c>
      <c r="G24" s="21">
        <f t="shared" si="4"/>
        <v>2881893961.0287004</v>
      </c>
      <c r="I24" s="21">
        <f t="shared" si="5"/>
        <v>231.69651378446088</v>
      </c>
      <c r="J24" s="21">
        <f t="shared" si="6"/>
        <v>0.1342369259172092</v>
      </c>
      <c r="K24" s="32">
        <f t="shared" si="7"/>
        <v>53683.274499872867</v>
      </c>
      <c r="L24" s="21">
        <f t="shared" si="8"/>
        <v>1.8019552279702311E-2</v>
      </c>
    </row>
    <row r="25" spans="1:20" x14ac:dyDescent="0.2">
      <c r="A25" s="20">
        <v>1729.0233333333333</v>
      </c>
      <c r="B25" s="21">
        <v>12</v>
      </c>
      <c r="C25" s="21">
        <f t="shared" si="0"/>
        <v>1992.8278746867163</v>
      </c>
      <c r="D25" s="21">
        <f>(B25-$H$14)^2</f>
        <v>2.25</v>
      </c>
      <c r="E25" s="20">
        <f>(A25-C25)^2</f>
        <v>69592.836038668756</v>
      </c>
      <c r="F25" s="20">
        <f>(A25-C25)^3</f>
        <v>-18358906.192662194</v>
      </c>
      <c r="G25" s="20">
        <f>(A25-C25)^4</f>
        <v>4843162827.9050331</v>
      </c>
      <c r="I25" s="21">
        <f t="shared" si="5"/>
        <v>263.804541353383</v>
      </c>
      <c r="J25" s="21">
        <f t="shared" si="6"/>
        <v>0.15257430959292029</v>
      </c>
      <c r="K25" s="32">
        <f t="shared" si="7"/>
        <v>69592.836038668756</v>
      </c>
      <c r="L25" s="21">
        <f t="shared" si="8"/>
        <v>2.3278919947756289E-2</v>
      </c>
    </row>
    <row r="26" spans="1:20" x14ac:dyDescent="0.2">
      <c r="A26" s="20">
        <v>1888.3266666666666</v>
      </c>
      <c r="B26" s="21">
        <v>13</v>
      </c>
      <c r="C26" s="21">
        <f t="shared" si="0"/>
        <v>2027.9325689223053</v>
      </c>
      <c r="D26" s="21">
        <f t="shared" ref="D26:D32" si="10">(B26-$H$14)^2</f>
        <v>6.25</v>
      </c>
      <c r="E26" s="20">
        <f t="shared" ref="E26:E33" si="11">(A26-C26)^2</f>
        <v>19489.807944610959</v>
      </c>
      <c r="F26" s="20">
        <f t="shared" ref="F26:F33" si="12">(A26-C26)^3</f>
        <v>-2720892.2228965289</v>
      </c>
      <c r="G26" s="20">
        <f t="shared" ref="G26:G32" si="13">(A26-C26)^4</f>
        <v>379852613.71782047</v>
      </c>
      <c r="I26" s="21">
        <f t="shared" si="5"/>
        <v>139.60590225563874</v>
      </c>
      <c r="J26" s="21">
        <f t="shared" si="6"/>
        <v>7.3931012424918757E-2</v>
      </c>
      <c r="K26" s="32">
        <f t="shared" si="7"/>
        <v>19489.807944610959</v>
      </c>
      <c r="L26" s="21">
        <f t="shared" si="8"/>
        <v>5.465794598173492E-3</v>
      </c>
    </row>
    <row r="27" spans="1:20" x14ac:dyDescent="0.2">
      <c r="A27" s="20">
        <v>1978.2666666666667</v>
      </c>
      <c r="B27" s="21">
        <v>14</v>
      </c>
      <c r="C27" s="21">
        <f t="shared" si="0"/>
        <v>2063.0372631578944</v>
      </c>
      <c r="D27" s="21">
        <f t="shared" si="10"/>
        <v>12.25</v>
      </c>
      <c r="E27" s="20">
        <f t="shared" si="11"/>
        <v>7186.0540294785469</v>
      </c>
      <c r="F27" s="20">
        <f t="shared" si="12"/>
        <v>-609166.0864970868</v>
      </c>
      <c r="G27" s="20">
        <f t="shared" si="13"/>
        <v>51639372.514584862</v>
      </c>
      <c r="I27" s="21">
        <f t="shared" si="5"/>
        <v>84.770596491227707</v>
      </c>
      <c r="J27" s="21">
        <f t="shared" si="6"/>
        <v>4.2850945183272079E-2</v>
      </c>
      <c r="K27" s="32">
        <f t="shared" si="7"/>
        <v>7186.0540294785469</v>
      </c>
      <c r="L27" s="21">
        <f t="shared" si="8"/>
        <v>1.8362035030997886E-3</v>
      </c>
    </row>
    <row r="28" spans="1:20" x14ac:dyDescent="0.2">
      <c r="A28" s="20">
        <v>1928.5566666666666</v>
      </c>
      <c r="B28" s="21">
        <v>15</v>
      </c>
      <c r="C28" s="21">
        <f t="shared" si="0"/>
        <v>2098.1419573934836</v>
      </c>
      <c r="D28" s="21">
        <f t="shared" si="10"/>
        <v>20.25</v>
      </c>
      <c r="E28" s="20">
        <f t="shared" si="11"/>
        <v>28759.170830899042</v>
      </c>
      <c r="F28" s="20">
        <f t="shared" si="12"/>
        <v>-4877132.3464202089</v>
      </c>
      <c r="G28" s="20">
        <f t="shared" si="13"/>
        <v>827089906.88083434</v>
      </c>
      <c r="I28" s="21">
        <f t="shared" si="5"/>
        <v>169.58529072681699</v>
      </c>
      <c r="J28" s="21">
        <f t="shared" si="6"/>
        <v>8.7933786783631104E-2</v>
      </c>
      <c r="K28" s="32">
        <f t="shared" si="7"/>
        <v>28759.170830899042</v>
      </c>
      <c r="L28" s="21">
        <f t="shared" si="8"/>
        <v>7.7323508581090966E-3</v>
      </c>
    </row>
    <row r="29" spans="1:20" x14ac:dyDescent="0.2">
      <c r="A29" s="20">
        <v>1975.5133333333333</v>
      </c>
      <c r="B29" s="21">
        <v>16</v>
      </c>
      <c r="C29" s="21">
        <f t="shared" si="0"/>
        <v>2133.2466516290724</v>
      </c>
      <c r="D29" s="21">
        <f t="shared" si="10"/>
        <v>30.25</v>
      </c>
      <c r="E29" s="20">
        <f t="shared" si="11"/>
        <v>24879.799700584936</v>
      </c>
      <c r="F29" s="20">
        <f t="shared" si="12"/>
        <v>-3924373.3653065977</v>
      </c>
      <c r="G29" s="20">
        <f t="shared" si="13"/>
        <v>619004433.14122629</v>
      </c>
      <c r="I29" s="21">
        <f t="shared" si="5"/>
        <v>157.73331829573908</v>
      </c>
      <c r="J29" s="21">
        <f t="shared" si="6"/>
        <v>7.984421853007273E-2</v>
      </c>
      <c r="K29" s="32">
        <f t="shared" si="7"/>
        <v>24879.799700584936</v>
      </c>
      <c r="L29" s="21">
        <f t="shared" si="8"/>
        <v>6.3750992326780092E-3</v>
      </c>
    </row>
    <row r="30" spans="1:20" x14ac:dyDescent="0.2">
      <c r="A30" s="20">
        <v>2071.7633333333333</v>
      </c>
      <c r="B30" s="21">
        <v>17</v>
      </c>
      <c r="C30" s="21">
        <f t="shared" si="0"/>
        <v>2168.3513458646612</v>
      </c>
      <c r="D30" s="21">
        <f t="shared" si="10"/>
        <v>42.25</v>
      </c>
      <c r="E30" s="20">
        <f t="shared" si="11"/>
        <v>9329.2441647519518</v>
      </c>
      <c r="F30" s="20">
        <f t="shared" si="12"/>
        <v>-901093.15229287895</v>
      </c>
      <c r="G30" s="20">
        <f t="shared" si="13"/>
        <v>87034796.685558349</v>
      </c>
      <c r="I30" s="21">
        <f t="shared" si="5"/>
        <v>96.588012531327877</v>
      </c>
      <c r="J30" s="21">
        <f t="shared" si="6"/>
        <v>4.6621161296413138E-2</v>
      </c>
      <c r="K30" s="32">
        <f t="shared" si="7"/>
        <v>9329.2441647519518</v>
      </c>
      <c r="L30" s="21">
        <f t="shared" si="8"/>
        <v>2.1735326806261702E-3</v>
      </c>
    </row>
    <row r="31" spans="1:20" x14ac:dyDescent="0.2">
      <c r="A31" s="20">
        <v>2336.3399999999997</v>
      </c>
      <c r="B31" s="21">
        <v>18</v>
      </c>
      <c r="C31" s="21">
        <f t="shared" si="0"/>
        <v>2203.45604010025</v>
      </c>
      <c r="D31" s="21">
        <f t="shared" si="10"/>
        <v>56.25</v>
      </c>
      <c r="E31" s="20">
        <f t="shared" si="11"/>
        <v>17658.146798638285</v>
      </c>
      <c r="F31" s="20">
        <f t="shared" si="12"/>
        <v>2346484.4710941436</v>
      </c>
      <c r="G31" s="20">
        <f t="shared" si="13"/>
        <v>311810148.36225951</v>
      </c>
      <c r="I31" s="21">
        <f t="shared" si="5"/>
        <v>132.8839598997497</v>
      </c>
      <c r="J31" s="21">
        <f t="shared" si="6"/>
        <v>5.6876978479052584E-2</v>
      </c>
      <c r="K31" s="32">
        <f t="shared" si="7"/>
        <v>17658.146798638285</v>
      </c>
      <c r="L31" s="21">
        <f t="shared" si="8"/>
        <v>3.2349906809066107E-3</v>
      </c>
    </row>
    <row r="32" spans="1:20" x14ac:dyDescent="0.2">
      <c r="A32" s="20">
        <v>2479.6333333333337</v>
      </c>
      <c r="B32" s="21">
        <v>19</v>
      </c>
      <c r="C32" s="21">
        <f t="shared" si="0"/>
        <v>2238.5607343358392</v>
      </c>
      <c r="D32" s="21">
        <f t="shared" si="10"/>
        <v>72.25</v>
      </c>
      <c r="E32" s="20">
        <f t="shared" si="11"/>
        <v>58115.99798740675</v>
      </c>
      <c r="F32" s="20">
        <f t="shared" si="12"/>
        <v>14010174.6781573</v>
      </c>
      <c r="G32" s="20">
        <f t="shared" si="13"/>
        <v>3377469222.0722656</v>
      </c>
      <c r="I32" s="21">
        <f t="shared" si="5"/>
        <v>241.07259899749442</v>
      </c>
      <c r="J32" s="21">
        <f t="shared" si="6"/>
        <v>9.7221067226671037E-2</v>
      </c>
      <c r="K32" s="32">
        <f t="shared" si="7"/>
        <v>58115.99798740675</v>
      </c>
      <c r="L32" s="21">
        <f t="shared" si="8"/>
        <v>9.4519359126928899E-3</v>
      </c>
    </row>
    <row r="33" spans="1:12" x14ac:dyDescent="0.2">
      <c r="A33" s="20">
        <v>2663.0733333333333</v>
      </c>
      <c r="B33" s="21">
        <v>20</v>
      </c>
      <c r="C33" s="21">
        <f t="shared" si="0"/>
        <v>2273.665428571428</v>
      </c>
      <c r="D33" s="21">
        <f>(B33-$H$14)^2</f>
        <v>90.25</v>
      </c>
      <c r="E33" s="20">
        <f t="shared" si="11"/>
        <v>151638.51629105705</v>
      </c>
      <c r="F33" s="20">
        <f t="shared" si="12"/>
        <v>59049236.910104558</v>
      </c>
      <c r="G33" s="20">
        <f>(A33-C33)^4</f>
        <v>22994239622.953175</v>
      </c>
      <c r="I33" s="21">
        <f t="shared" si="5"/>
        <v>389.40790476190523</v>
      </c>
      <c r="J33" s="21">
        <f t="shared" si="6"/>
        <v>0.14622500247655162</v>
      </c>
      <c r="K33" s="32">
        <f t="shared" si="7"/>
        <v>151638.51629105705</v>
      </c>
      <c r="L33" s="21">
        <f t="shared" si="8"/>
        <v>2.1381751349267529E-2</v>
      </c>
    </row>
    <row r="34" spans="1:12" x14ac:dyDescent="0.2">
      <c r="A34" s="21"/>
      <c r="B34" s="30">
        <v>21</v>
      </c>
      <c r="C34" s="30">
        <f t="shared" si="0"/>
        <v>2308.7701228070173</v>
      </c>
      <c r="D34" s="21">
        <f>SUM(D14:D33)</f>
        <v>665</v>
      </c>
      <c r="E34" s="20">
        <f>SUM(E14:E33)</f>
        <v>537741.25029893941</v>
      </c>
      <c r="F34" s="20">
        <f>SUM(F14:F33)</f>
        <v>49123225.489957601</v>
      </c>
      <c r="G34" s="20">
        <f>SUM(G14:G33)</f>
        <v>40199765849.752029</v>
      </c>
      <c r="I34" s="20">
        <f>SUM(I14:I33)</f>
        <v>2627.8923859649121</v>
      </c>
      <c r="J34" s="20">
        <f t="shared" ref="J34:K34" si="14">SUM(J14:J33)</f>
        <v>1.3098664342359834</v>
      </c>
      <c r="K34" s="20">
        <f t="shared" si="14"/>
        <v>537741.25029893941</v>
      </c>
      <c r="L34" s="20">
        <f>SUM(L14:L33)</f>
        <v>0.12656783065927688</v>
      </c>
    </row>
    <row r="35" spans="1:12" x14ac:dyDescent="0.2">
      <c r="B35" s="30">
        <v>22</v>
      </c>
      <c r="C35" s="30">
        <f t="shared" si="0"/>
        <v>2343.8748170426061</v>
      </c>
    </row>
    <row r="36" spans="1:12" x14ac:dyDescent="0.2">
      <c r="B36" s="30">
        <v>23</v>
      </c>
      <c r="C36" s="30">
        <f t="shared" si="0"/>
        <v>2378.9795112781949</v>
      </c>
    </row>
    <row r="46" spans="1:12" x14ac:dyDescent="0.2">
      <c r="F46" s="5"/>
      <c r="J46" s="5"/>
    </row>
    <row r="47" spans="1:12" x14ac:dyDescent="0.2">
      <c r="F47" s="5"/>
    </row>
    <row r="48" spans="1:12" x14ac:dyDescent="0.2">
      <c r="F48" s="5"/>
    </row>
    <row r="49" spans="3:21" x14ac:dyDescent="0.2">
      <c r="F49" s="5"/>
    </row>
    <row r="51" spans="3:21" x14ac:dyDescent="0.2">
      <c r="C51" s="5"/>
      <c r="G51" s="5"/>
    </row>
    <row r="52" spans="3:21" x14ac:dyDescent="0.2">
      <c r="C52" s="5"/>
    </row>
    <row r="53" spans="3:21" x14ac:dyDescent="0.2">
      <c r="C53" s="5"/>
    </row>
    <row r="54" spans="3:21" x14ac:dyDescent="0.2">
      <c r="C54" s="5"/>
    </row>
    <row r="55" spans="3:21" x14ac:dyDescent="0.2">
      <c r="C55" s="5"/>
      <c r="R55" s="8"/>
    </row>
    <row r="56" spans="3:21" x14ac:dyDescent="0.2">
      <c r="C56" s="5"/>
    </row>
    <row r="57" spans="3:21" x14ac:dyDescent="0.2">
      <c r="C57" s="5"/>
      <c r="K57" s="5"/>
      <c r="L57" s="5"/>
    </row>
    <row r="58" spans="3:21" x14ac:dyDescent="0.2">
      <c r="C58" s="5"/>
      <c r="K58" s="5"/>
      <c r="L58" s="5"/>
    </row>
    <row r="59" spans="3:21" x14ac:dyDescent="0.2">
      <c r="C59" s="5"/>
      <c r="K59" s="5"/>
      <c r="L59" s="5"/>
    </row>
    <row r="60" spans="3:21" x14ac:dyDescent="0.2">
      <c r="C60" s="5"/>
      <c r="K60" s="5"/>
      <c r="L60" s="5"/>
    </row>
    <row r="61" spans="3:21" x14ac:dyDescent="0.2">
      <c r="C61" s="5"/>
      <c r="K61" s="5"/>
      <c r="L61" s="5"/>
      <c r="U61" s="9"/>
    </row>
    <row r="62" spans="3:21" x14ac:dyDescent="0.2">
      <c r="C62" s="5"/>
      <c r="G62" s="5"/>
      <c r="H62" s="5"/>
      <c r="I62" s="5"/>
      <c r="K62" s="5"/>
      <c r="L62" s="5"/>
      <c r="U62" s="9"/>
    </row>
    <row r="63" spans="3:21" x14ac:dyDescent="0.2">
      <c r="C63" s="5"/>
      <c r="G63" s="5"/>
      <c r="H63" s="5"/>
      <c r="I63" s="5"/>
      <c r="K63" s="5"/>
      <c r="L63" s="5"/>
      <c r="U63" s="9"/>
    </row>
    <row r="64" spans="3:21" x14ac:dyDescent="0.2">
      <c r="C64" s="5"/>
      <c r="G64" s="5"/>
      <c r="H64" s="5"/>
      <c r="I64" s="5"/>
      <c r="K64" s="5"/>
      <c r="L64" s="5"/>
    </row>
    <row r="65" spans="3:12" x14ac:dyDescent="0.2">
      <c r="C65" s="5"/>
      <c r="G65" s="5"/>
      <c r="H65" s="5"/>
      <c r="I65" s="5"/>
      <c r="K65" s="5"/>
      <c r="L65" s="5"/>
    </row>
    <row r="66" spans="3:12" x14ac:dyDescent="0.2">
      <c r="C66" s="5"/>
      <c r="G66" s="5"/>
      <c r="H66" s="5"/>
      <c r="I66" s="5"/>
      <c r="K66" s="5"/>
      <c r="L66" s="5"/>
    </row>
    <row r="67" spans="3:12" x14ac:dyDescent="0.2">
      <c r="C67" s="5"/>
      <c r="G67" s="5"/>
      <c r="H67" s="5"/>
      <c r="I67" s="5"/>
    </row>
    <row r="68" spans="3:12" x14ac:dyDescent="0.2">
      <c r="C68" s="5"/>
      <c r="G68" s="5"/>
      <c r="H68" s="5"/>
      <c r="I68" s="5"/>
    </row>
    <row r="69" spans="3:12" x14ac:dyDescent="0.2">
      <c r="C69" s="5"/>
      <c r="G69" s="5"/>
      <c r="H69" s="5"/>
      <c r="I69" s="5"/>
    </row>
    <row r="70" spans="3:12" x14ac:dyDescent="0.2">
      <c r="C70" s="5"/>
      <c r="G70" s="5"/>
      <c r="H70" s="5"/>
      <c r="I70" s="5"/>
    </row>
    <row r="71" spans="3:12" x14ac:dyDescent="0.2">
      <c r="D71" s="10"/>
      <c r="E71" s="10"/>
      <c r="G71" s="5"/>
      <c r="H71" s="5"/>
      <c r="I71" s="5"/>
    </row>
    <row r="72" spans="3:12" x14ac:dyDescent="0.2">
      <c r="D72" s="10"/>
      <c r="E72" s="10"/>
    </row>
    <row r="73" spans="3:12" x14ac:dyDescent="0.2">
      <c r="D73" s="10"/>
      <c r="E73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4FC-88AF-2946-89CF-147C02272FC7}">
  <dimension ref="A1:G30"/>
  <sheetViews>
    <sheetView showGridLines="0" workbookViewId="0"/>
  </sheetViews>
  <sheetFormatPr baseColWidth="10" defaultRowHeight="16" outlineLevelRow="1" x14ac:dyDescent="0.2"/>
  <cols>
    <col min="1" max="1" width="2.33203125" customWidth="1"/>
    <col min="2" max="2" width="8.6640625" bestFit="1" customWidth="1"/>
    <col min="3" max="3" width="12" bestFit="1" customWidth="1"/>
    <col min="4" max="4" width="18.5" bestFit="1" customWidth="1"/>
    <col min="5" max="5" width="15.83203125" bestFit="1" customWidth="1"/>
    <col min="6" max="6" width="10.33203125" bestFit="1" customWidth="1"/>
    <col min="7" max="7" width="11.33203125" bestFit="1" customWidth="1"/>
  </cols>
  <sheetData>
    <row r="1" spans="1:5" x14ac:dyDescent="0.2">
      <c r="A1" s="13" t="s">
        <v>150</v>
      </c>
    </row>
    <row r="2" spans="1:5" x14ac:dyDescent="0.2">
      <c r="A2" s="13" t="s">
        <v>151</v>
      </c>
    </row>
    <row r="3" spans="1:5" x14ac:dyDescent="0.2">
      <c r="A3" s="13" t="s">
        <v>152</v>
      </c>
    </row>
    <row r="4" spans="1:5" x14ac:dyDescent="0.2">
      <c r="A4" s="13" t="s">
        <v>153</v>
      </c>
    </row>
    <row r="5" spans="1:5" x14ac:dyDescent="0.2">
      <c r="A5" s="13" t="s">
        <v>154</v>
      </c>
    </row>
    <row r="6" spans="1:5" hidden="1" outlineLevel="1" x14ac:dyDescent="0.2">
      <c r="A6" s="13"/>
      <c r="B6" t="s">
        <v>155</v>
      </c>
    </row>
    <row r="7" spans="1:5" hidden="1" outlineLevel="1" x14ac:dyDescent="0.2">
      <c r="A7" s="13"/>
      <c r="B7" t="s">
        <v>156</v>
      </c>
    </row>
    <row r="8" spans="1:5" hidden="1" outlineLevel="1" x14ac:dyDescent="0.2">
      <c r="A8" s="13"/>
      <c r="B8" t="s">
        <v>157</v>
      </c>
    </row>
    <row r="9" spans="1:5" collapsed="1" x14ac:dyDescent="0.2">
      <c r="A9" s="13" t="s">
        <v>158</v>
      </c>
    </row>
    <row r="10" spans="1:5" hidden="1" outlineLevel="1" x14ac:dyDescent="0.2">
      <c r="B10" t="s">
        <v>159</v>
      </c>
    </row>
    <row r="11" spans="1:5" hidden="1" outlineLevel="1" x14ac:dyDescent="0.2">
      <c r="B11" t="s">
        <v>160</v>
      </c>
    </row>
    <row r="12" spans="1:5" hidden="1" outlineLevel="1" x14ac:dyDescent="0.2">
      <c r="B12" t="s">
        <v>161</v>
      </c>
    </row>
    <row r="13" spans="1:5" collapsed="1" x14ac:dyDescent="0.2"/>
    <row r="14" spans="1:5" ht="17" thickBot="1" x14ac:dyDescent="0.25">
      <c r="A14" t="s">
        <v>162</v>
      </c>
    </row>
    <row r="15" spans="1:5" ht="17" thickBot="1" x14ac:dyDescent="0.25">
      <c r="B15" s="15" t="s">
        <v>163</v>
      </c>
      <c r="C15" s="15" t="s">
        <v>164</v>
      </c>
      <c r="D15" s="15" t="s">
        <v>165</v>
      </c>
      <c r="E15" s="15" t="s">
        <v>166</v>
      </c>
    </row>
    <row r="16" spans="1:5" ht="17" thickBot="1" x14ac:dyDescent="0.25">
      <c r="B16" s="14" t="s">
        <v>174</v>
      </c>
      <c r="C16" s="14" t="s">
        <v>146</v>
      </c>
      <c r="D16" s="14">
        <v>107.17220452239313</v>
      </c>
      <c r="E16" s="14">
        <v>107.17220452239313</v>
      </c>
    </row>
    <row r="19" spans="1:7" ht="17" thickBot="1" x14ac:dyDescent="0.25">
      <c r="A19" t="s">
        <v>167</v>
      </c>
    </row>
    <row r="20" spans="1:7" ht="17" thickBot="1" x14ac:dyDescent="0.25">
      <c r="B20" s="15" t="s">
        <v>163</v>
      </c>
      <c r="C20" s="15" t="s">
        <v>164</v>
      </c>
      <c r="D20" s="15" t="s">
        <v>165</v>
      </c>
      <c r="E20" s="15" t="s">
        <v>166</v>
      </c>
      <c r="F20" s="15" t="s">
        <v>168</v>
      </c>
    </row>
    <row r="21" spans="1:7" x14ac:dyDescent="0.2">
      <c r="B21" s="16" t="s">
        <v>175</v>
      </c>
      <c r="C21" s="16" t="s">
        <v>147</v>
      </c>
      <c r="D21" s="17">
        <v>1</v>
      </c>
      <c r="E21" s="17">
        <v>1</v>
      </c>
      <c r="F21" s="16" t="s">
        <v>176</v>
      </c>
    </row>
    <row r="22" spans="1:7" ht="17" thickBot="1" x14ac:dyDescent="0.25">
      <c r="B22" s="14" t="s">
        <v>177</v>
      </c>
      <c r="C22" s="14" t="s">
        <v>148</v>
      </c>
      <c r="D22" s="14">
        <v>0.41586774980961333</v>
      </c>
      <c r="E22" s="14">
        <v>0.41586774980961333</v>
      </c>
      <c r="F22" s="14" t="s">
        <v>176</v>
      </c>
    </row>
    <row r="25" spans="1:7" ht="17" thickBot="1" x14ac:dyDescent="0.25">
      <c r="A25" t="s">
        <v>169</v>
      </c>
    </row>
    <row r="26" spans="1:7" ht="17" thickBot="1" x14ac:dyDescent="0.25">
      <c r="B26" s="15" t="s">
        <v>163</v>
      </c>
      <c r="C26" s="15" t="s">
        <v>164</v>
      </c>
      <c r="D26" s="15" t="s">
        <v>170</v>
      </c>
      <c r="E26" s="15" t="s">
        <v>171</v>
      </c>
      <c r="F26" s="15" t="s">
        <v>172</v>
      </c>
      <c r="G26" s="15" t="s">
        <v>173</v>
      </c>
    </row>
    <row r="27" spans="1:7" x14ac:dyDescent="0.2">
      <c r="B27" s="16" t="s">
        <v>175</v>
      </c>
      <c r="C27" s="16" t="s">
        <v>147</v>
      </c>
      <c r="D27" s="17">
        <v>1</v>
      </c>
      <c r="E27" s="16" t="s">
        <v>178</v>
      </c>
      <c r="F27" s="16" t="s">
        <v>179</v>
      </c>
      <c r="G27" s="16">
        <v>0</v>
      </c>
    </row>
    <row r="28" spans="1:7" x14ac:dyDescent="0.2">
      <c r="B28" s="16" t="s">
        <v>177</v>
      </c>
      <c r="C28" s="16" t="s">
        <v>148</v>
      </c>
      <c r="D28" s="16">
        <v>0.41586774980961333</v>
      </c>
      <c r="E28" s="16" t="s">
        <v>180</v>
      </c>
      <c r="F28" s="16" t="s">
        <v>181</v>
      </c>
      <c r="G28" s="16">
        <v>0.58413225019038673</v>
      </c>
    </row>
    <row r="29" spans="1:7" x14ac:dyDescent="0.2">
      <c r="B29" s="16" t="s">
        <v>175</v>
      </c>
      <c r="C29" s="16" t="s">
        <v>147</v>
      </c>
      <c r="D29" s="17">
        <v>1</v>
      </c>
      <c r="E29" s="16" t="s">
        <v>182</v>
      </c>
      <c r="F29" s="16" t="s">
        <v>181</v>
      </c>
      <c r="G29" s="17">
        <v>1</v>
      </c>
    </row>
    <row r="30" spans="1:7" ht="17" thickBot="1" x14ac:dyDescent="0.25">
      <c r="B30" s="14" t="s">
        <v>177</v>
      </c>
      <c r="C30" s="14" t="s">
        <v>148</v>
      </c>
      <c r="D30" s="14">
        <v>0.41586774980961333</v>
      </c>
      <c r="E30" s="14" t="s">
        <v>183</v>
      </c>
      <c r="F30" s="14" t="s">
        <v>181</v>
      </c>
      <c r="G30" s="14">
        <v>0.41586774980961333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B7F7-9CE6-0441-8ED5-CFAADB078AB8}">
  <dimension ref="A1:AF50"/>
  <sheetViews>
    <sheetView topLeftCell="X1" zoomScale="75" workbookViewId="0">
      <selection activeCell="AC22" sqref="AC22:AF22"/>
    </sheetView>
  </sheetViews>
  <sheetFormatPr baseColWidth="10" defaultRowHeight="16" x14ac:dyDescent="0.2"/>
  <cols>
    <col min="1" max="1" width="15.6640625" customWidth="1"/>
    <col min="2" max="2" width="29.83203125" customWidth="1"/>
    <col min="3" max="3" width="14.6640625" customWidth="1"/>
    <col min="4" max="4" width="20.1640625" customWidth="1"/>
    <col min="5" max="5" width="16.1640625" customWidth="1"/>
    <col min="24" max="24" width="20.6640625" customWidth="1"/>
    <col min="25" max="25" width="21.1640625" customWidth="1"/>
    <col min="26" max="26" width="20" customWidth="1"/>
    <col min="27" max="27" width="20.33203125" customWidth="1"/>
    <col min="32" max="32" width="13.6640625" bestFit="1" customWidth="1"/>
  </cols>
  <sheetData>
    <row r="1" spans="1:32" x14ac:dyDescent="0.2">
      <c r="A1" t="s">
        <v>63</v>
      </c>
    </row>
    <row r="2" spans="1:32" ht="34" x14ac:dyDescent="0.2">
      <c r="A2" s="42" t="s">
        <v>64</v>
      </c>
      <c r="B2" s="42" t="s">
        <v>65</v>
      </c>
      <c r="C2" s="42" t="s">
        <v>66</v>
      </c>
      <c r="D2" s="42" t="s">
        <v>85</v>
      </c>
      <c r="E2" s="44" t="s">
        <v>86</v>
      </c>
      <c r="F2" s="42" t="s">
        <v>87</v>
      </c>
      <c r="G2" s="42" t="s">
        <v>88</v>
      </c>
      <c r="H2" s="42" t="s">
        <v>89</v>
      </c>
      <c r="I2" s="42" t="s">
        <v>90</v>
      </c>
      <c r="J2" s="42" t="s">
        <v>91</v>
      </c>
      <c r="K2" s="42" t="s">
        <v>92</v>
      </c>
      <c r="L2" s="42" t="s">
        <v>93</v>
      </c>
      <c r="M2" s="42" t="s">
        <v>94</v>
      </c>
      <c r="N2" s="42" t="s">
        <v>95</v>
      </c>
      <c r="O2" s="42" t="s">
        <v>96</v>
      </c>
      <c r="P2" s="42" t="s">
        <v>97</v>
      </c>
      <c r="Q2" s="42" t="s">
        <v>98</v>
      </c>
      <c r="R2" s="42" t="s">
        <v>99</v>
      </c>
      <c r="S2" s="42" t="s">
        <v>100</v>
      </c>
      <c r="T2" s="42" t="s">
        <v>101</v>
      </c>
      <c r="U2" s="42" t="s">
        <v>102</v>
      </c>
      <c r="V2" s="42" t="s">
        <v>103</v>
      </c>
      <c r="W2" s="42" t="s">
        <v>104</v>
      </c>
      <c r="X2" s="42" t="s">
        <v>105</v>
      </c>
      <c r="Y2" s="42" t="s">
        <v>106</v>
      </c>
      <c r="Z2" s="42" t="s">
        <v>107</v>
      </c>
      <c r="AA2" s="42" t="s">
        <v>108</v>
      </c>
      <c r="AB2" s="55" t="s">
        <v>113</v>
      </c>
      <c r="AC2" s="56" t="s">
        <v>247</v>
      </c>
      <c r="AD2" s="56" t="s">
        <v>246</v>
      </c>
      <c r="AE2" s="56" t="s">
        <v>245</v>
      </c>
      <c r="AF2" s="56" t="s">
        <v>244</v>
      </c>
    </row>
    <row r="3" spans="1:32" x14ac:dyDescent="0.2">
      <c r="A3" s="21">
        <v>1</v>
      </c>
      <c r="B3" s="20">
        <v>1583.2333333333333</v>
      </c>
      <c r="C3" s="43" t="s">
        <v>67</v>
      </c>
      <c r="D3" s="21">
        <f t="shared" ref="D3:D20" si="0">INTERCEPT(B3:B5,A3:A5)</f>
        <v>1406.22</v>
      </c>
      <c r="E3" s="39">
        <f t="shared" ref="E3:E20" si="1">SLOPE(B3:B5,A3:A5)</f>
        <v>164.56000000000006</v>
      </c>
      <c r="F3" s="21">
        <f>$D$3+$E$3*$A3</f>
        <v>1570.7800000000002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>
        <f>F3</f>
        <v>1570.7800000000002</v>
      </c>
      <c r="Y3" s="21"/>
      <c r="Z3" s="21"/>
      <c r="AA3" s="21"/>
      <c r="AB3" s="20">
        <f>(B3-X3)^2</f>
        <v>155.08551111110651</v>
      </c>
      <c r="AC3" s="21">
        <f>ABS(B3-X3)</f>
        <v>12.453333333333148</v>
      </c>
      <c r="AD3" s="21">
        <f>ABS((B3-X3)/B3)</f>
        <v>7.8657599427331085E-3</v>
      </c>
      <c r="AE3" s="20">
        <f>(B3-X3)^2</f>
        <v>155.08551111110651</v>
      </c>
      <c r="AF3" s="21">
        <f>((B3-X3)/B3)^2</f>
        <v>6.1870179476704754E-5</v>
      </c>
    </row>
    <row r="4" spans="1:32" x14ac:dyDescent="0.2">
      <c r="A4" s="21">
        <v>2</v>
      </c>
      <c r="B4" s="20">
        <v>1710.4333333333334</v>
      </c>
      <c r="C4" s="43" t="s">
        <v>68</v>
      </c>
      <c r="D4" s="21">
        <f t="shared" si="0"/>
        <v>1585.7494444444446</v>
      </c>
      <c r="E4" s="39">
        <f t="shared" si="1"/>
        <v>82.281666666666638</v>
      </c>
      <c r="F4" s="21">
        <f>$D$3+$E$3*$A4</f>
        <v>1735.3400000000001</v>
      </c>
      <c r="G4" s="21">
        <f>$D$4+$E$4*A4</f>
        <v>1750.3127777777779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>
        <f>AVERAGE(F4:G4)</f>
        <v>1742.8263888888891</v>
      </c>
      <c r="Y4" s="45">
        <f>X4-X3</f>
        <v>172.04638888888894</v>
      </c>
      <c r="Z4" s="21">
        <f>1/19*(1/19)</f>
        <v>2.7700831024930744E-3</v>
      </c>
      <c r="AA4" s="45">
        <f>Y4*Z4</f>
        <v>0.47658279470606346</v>
      </c>
      <c r="AB4" s="20">
        <f t="shared" ref="AB4:AB21" si="2">(B4-X4)^2</f>
        <v>1049.310048225321</v>
      </c>
      <c r="AC4" s="21">
        <f t="shared" ref="AC4:AC21" si="3">ABS(B4-X4)</f>
        <v>32.393055555555748</v>
      </c>
      <c r="AD4" s="21">
        <f t="shared" ref="AD4:AD21" si="4">ABS((B4-X4)/B4)</f>
        <v>1.8938508110355513E-2</v>
      </c>
      <c r="AE4" s="20">
        <f t="shared" ref="AE4:AE21" si="5">(B4-X4)^2</f>
        <v>1049.310048225321</v>
      </c>
      <c r="AF4" s="21">
        <f t="shared" ref="AF4:AF21" si="6">((B4-X4)/B4)^2</f>
        <v>3.5866708944600151E-4</v>
      </c>
    </row>
    <row r="5" spans="1:32" x14ac:dyDescent="0.2">
      <c r="A5" s="21">
        <v>3</v>
      </c>
      <c r="B5" s="20">
        <v>1912.3533333333335</v>
      </c>
      <c r="C5" s="43" t="s">
        <v>69</v>
      </c>
      <c r="D5" s="21">
        <f t="shared" si="0"/>
        <v>2090.8344444444447</v>
      </c>
      <c r="E5" s="39">
        <f t="shared" si="1"/>
        <v>-57.280000000000086</v>
      </c>
      <c r="F5" s="21">
        <f>$D$3+$E$3*$A5</f>
        <v>1899.9</v>
      </c>
      <c r="G5" s="21">
        <f>$D$4+$E$4*A5</f>
        <v>1832.5944444444444</v>
      </c>
      <c r="H5" s="21">
        <f>$D$5+$E$5*A5</f>
        <v>1918.9944444444445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>
        <f>AVERAGE(F5:H5)</f>
        <v>1883.8296296296296</v>
      </c>
      <c r="Y5" s="45">
        <f t="shared" ref="Y5:Y22" si="7">X5-X4</f>
        <v>141.00324074074047</v>
      </c>
      <c r="Z5" s="21">
        <f>1/19*(1/19+1/18)</f>
        <v>5.6940597106802087E-3</v>
      </c>
      <c r="AA5" s="45">
        <f t="shared" ref="AA5:AA22" si="8">Y5*Z5</f>
        <v>0.80288087217719251</v>
      </c>
      <c r="AB5" s="20">
        <f t="shared" si="2"/>
        <v>813.6016729766892</v>
      </c>
      <c r="AC5" s="21">
        <f t="shared" si="3"/>
        <v>28.523703703703859</v>
      </c>
      <c r="AD5" s="21">
        <f t="shared" si="4"/>
        <v>1.4915498724278912E-2</v>
      </c>
      <c r="AE5" s="20">
        <f t="shared" si="5"/>
        <v>813.6016729766892</v>
      </c>
      <c r="AF5" s="21">
        <f t="shared" si="6"/>
        <v>2.2247210219396586E-4</v>
      </c>
    </row>
    <row r="6" spans="1:32" x14ac:dyDescent="0.2">
      <c r="A6" s="21">
        <v>4</v>
      </c>
      <c r="B6" s="20">
        <v>1874.9966666666667</v>
      </c>
      <c r="C6" s="43" t="s">
        <v>70</v>
      </c>
      <c r="D6" s="21">
        <f t="shared" si="0"/>
        <v>1979.348888888889</v>
      </c>
      <c r="E6" s="39">
        <f t="shared" si="1"/>
        <v>-30.019999999999982</v>
      </c>
      <c r="F6" s="21"/>
      <c r="G6" s="21">
        <f>$D$4+$E$4*A6</f>
        <v>1914.8761111111112</v>
      </c>
      <c r="H6" s="21">
        <f>$D$5+$E$5*A6</f>
        <v>1861.7144444444443</v>
      </c>
      <c r="I6" s="21">
        <f>$D$6+$E$6*A6</f>
        <v>1859.268888888889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>
        <f>AVERAGE(G6:I6)</f>
        <v>1878.6198148148148</v>
      </c>
      <c r="Y6" s="45">
        <f t="shared" si="7"/>
        <v>-5.2098148148147629</v>
      </c>
      <c r="Z6" s="21">
        <f>1/19*(1/19+1/18+1/17)</f>
        <v>8.7900349428783504E-3</v>
      </c>
      <c r="AA6" s="45">
        <f t="shared" si="8"/>
        <v>-4.5794454268147065E-2</v>
      </c>
      <c r="AB6" s="20">
        <f t="shared" si="2"/>
        <v>13.127202503429551</v>
      </c>
      <c r="AC6" s="21">
        <f t="shared" si="3"/>
        <v>3.6231481481481751</v>
      </c>
      <c r="AD6" s="21">
        <f t="shared" si="4"/>
        <v>1.9323491142996744E-3</v>
      </c>
      <c r="AE6" s="20">
        <f t="shared" si="5"/>
        <v>13.127202503429551</v>
      </c>
      <c r="AF6" s="21">
        <f t="shared" si="6"/>
        <v>3.7339730995347362E-6</v>
      </c>
    </row>
    <row r="7" spans="1:32" x14ac:dyDescent="0.2">
      <c r="A7" s="21">
        <v>5</v>
      </c>
      <c r="B7" s="20">
        <v>1797.7933333333333</v>
      </c>
      <c r="C7" s="43" t="s">
        <v>71</v>
      </c>
      <c r="D7" s="21">
        <f t="shared" si="0"/>
        <v>1825.843333333333</v>
      </c>
      <c r="E7" s="39">
        <f t="shared" si="1"/>
        <v>-4.1866666666666106</v>
      </c>
      <c r="F7" s="21"/>
      <c r="G7" s="21"/>
      <c r="H7" s="21">
        <f>$D$5+$E$5*A7</f>
        <v>1804.4344444444441</v>
      </c>
      <c r="I7" s="21">
        <f>$D$6+$E$6*A7</f>
        <v>1829.248888888889</v>
      </c>
      <c r="J7" s="21">
        <f>$D$7+$E$7*A7</f>
        <v>1804.9099999999999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>
        <f>AVERAGE(H7:J7)</f>
        <v>1812.8644444444444</v>
      </c>
      <c r="Y7" s="45">
        <f t="shared" si="7"/>
        <v>-65.755370370370429</v>
      </c>
      <c r="Z7" s="21">
        <f>1/19*(1/19+1/18+1/17+1/16)</f>
        <v>1.2079508627088877E-2</v>
      </c>
      <c r="AA7" s="45">
        <f>Y7*Z7</f>
        <v>-0.79429256366631384</v>
      </c>
      <c r="AB7" s="20">
        <f t="shared" si="2"/>
        <v>227.13839012345713</v>
      </c>
      <c r="AC7" s="21">
        <f t="shared" si="3"/>
        <v>15.071111111111122</v>
      </c>
      <c r="AD7" s="21">
        <f t="shared" si="4"/>
        <v>8.3831165861358494E-3</v>
      </c>
      <c r="AE7" s="20">
        <f t="shared" si="5"/>
        <v>227.13839012345713</v>
      </c>
      <c r="AF7" s="21">
        <f t="shared" si="6"/>
        <v>7.0276643696745973E-5</v>
      </c>
    </row>
    <row r="8" spans="1:32" x14ac:dyDescent="0.2">
      <c r="A8" s="21">
        <v>6</v>
      </c>
      <c r="B8" s="20">
        <v>1814.9566666666667</v>
      </c>
      <c r="C8" s="43" t="s">
        <v>72</v>
      </c>
      <c r="D8" s="21">
        <f t="shared" si="0"/>
        <v>1865.3761111111116</v>
      </c>
      <c r="E8" s="39">
        <f t="shared" si="1"/>
        <v>-9.3050000000000637</v>
      </c>
      <c r="F8" s="21"/>
      <c r="G8" s="21"/>
      <c r="H8" s="21"/>
      <c r="I8" s="21">
        <f>$D$6+$E$6*A8</f>
        <v>1799.2288888888891</v>
      </c>
      <c r="J8" s="21">
        <f>$D$7+$E$7*A8</f>
        <v>1800.7233333333334</v>
      </c>
      <c r="K8" s="21">
        <f>$D$8+$E$8*A8</f>
        <v>1809.5461111111113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>
        <f>AVERAGE(I8:K8)</f>
        <v>1803.1661111111109</v>
      </c>
      <c r="Y8" s="45">
        <f t="shared" si="7"/>
        <v>-9.698333333333494</v>
      </c>
      <c r="Z8" s="21">
        <f>1/19*(1/18+1/17+1/16+1/15+1/19)</f>
        <v>1.5588280556913437E-2</v>
      </c>
      <c r="AA8" s="45">
        <f t="shared" si="8"/>
        <v>-0.15118034093446797</v>
      </c>
      <c r="AB8" s="20">
        <f t="shared" si="2"/>
        <v>139.01720030864735</v>
      </c>
      <c r="AC8" s="21">
        <f t="shared" si="3"/>
        <v>11.790555555555784</v>
      </c>
      <c r="AD8" s="21">
        <f t="shared" si="4"/>
        <v>6.4963289604099547E-3</v>
      </c>
      <c r="AE8" s="20">
        <f t="shared" si="5"/>
        <v>139.01720030864735</v>
      </c>
      <c r="AF8" s="21">
        <f t="shared" si="6"/>
        <v>4.2202289961861081E-5</v>
      </c>
    </row>
    <row r="9" spans="1:32" x14ac:dyDescent="0.2">
      <c r="A9" s="21">
        <v>7</v>
      </c>
      <c r="B9" s="20">
        <v>1789.42</v>
      </c>
      <c r="C9" s="43" t="s">
        <v>73</v>
      </c>
      <c r="D9" s="21">
        <f t="shared" si="0"/>
        <v>1483.8633333333339</v>
      </c>
      <c r="E9" s="39">
        <f t="shared" si="1"/>
        <v>41.98166666666657</v>
      </c>
      <c r="F9" s="21"/>
      <c r="G9" s="21"/>
      <c r="H9" s="21"/>
      <c r="I9" s="21"/>
      <c r="J9" s="21">
        <f>$D$7+$E$7*A9</f>
        <v>1796.5366666666669</v>
      </c>
      <c r="K9" s="21">
        <f>$D$8+$E$8*A9</f>
        <v>1800.2411111111112</v>
      </c>
      <c r="L9" s="21">
        <f>$D$9+$E$9*A9</f>
        <v>1777.7349999999999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>
        <f>AVERAGE(J9:L9)</f>
        <v>1791.5042592592592</v>
      </c>
      <c r="Y9" s="45">
        <f t="shared" si="7"/>
        <v>-11.661851851851679</v>
      </c>
      <c r="Z9" s="21">
        <f>1/19*(1/19+1/18+1/17+1/16+1/15+1/14)</f>
        <v>1.9347679053154036E-2</v>
      </c>
      <c r="AA9" s="45">
        <f t="shared" si="8"/>
        <v>-0.22562976679505634</v>
      </c>
      <c r="AB9" s="20">
        <f t="shared" si="2"/>
        <v>4.3441366598075843</v>
      </c>
      <c r="AC9" s="21">
        <f t="shared" si="3"/>
        <v>2.08425925925917</v>
      </c>
      <c r="AD9" s="21">
        <f t="shared" si="4"/>
        <v>1.164768058510115E-3</v>
      </c>
      <c r="AE9" s="20">
        <f t="shared" si="5"/>
        <v>4.3441366598075843</v>
      </c>
      <c r="AF9" s="21">
        <f t="shared" si="6"/>
        <v>1.3566846301254227E-6</v>
      </c>
    </row>
    <row r="10" spans="1:32" x14ac:dyDescent="0.2">
      <c r="A10" s="21">
        <v>8</v>
      </c>
      <c r="B10" s="20">
        <v>1796.3466666666666</v>
      </c>
      <c r="C10" s="43" t="s">
        <v>74</v>
      </c>
      <c r="D10" s="21">
        <f t="shared" si="0"/>
        <v>1498.5672222222224</v>
      </c>
      <c r="E10" s="39">
        <f t="shared" si="1"/>
        <v>38.814999999999941</v>
      </c>
      <c r="F10" s="21"/>
      <c r="G10" s="21"/>
      <c r="H10" s="21"/>
      <c r="I10" s="21"/>
      <c r="J10" s="21"/>
      <c r="K10" s="21">
        <f>$D$8+$E$8*A10</f>
        <v>1790.9361111111111</v>
      </c>
      <c r="L10" s="21">
        <f>$D$9+$E$9*A10</f>
        <v>1819.7166666666665</v>
      </c>
      <c r="M10" s="21">
        <f>$D$10+$E$10*A10</f>
        <v>1809.087222222222</v>
      </c>
      <c r="N10" s="21"/>
      <c r="O10" s="21"/>
      <c r="P10" s="21"/>
      <c r="Q10" s="21"/>
      <c r="R10" s="21"/>
      <c r="S10" s="21"/>
      <c r="T10" s="43"/>
      <c r="U10" s="21"/>
      <c r="V10" s="21"/>
      <c r="W10" s="21"/>
      <c r="X10" s="21">
        <f>AVERAGE(K10:M10)</f>
        <v>1806.58</v>
      </c>
      <c r="Y10" s="45">
        <f>X10-X9</f>
        <v>15.075740740740684</v>
      </c>
      <c r="Z10" s="21">
        <f>1/19*(1/19+1/18+1/17+1/16+1/15+1/14+1/13)</f>
        <v>2.3396262049105453E-2</v>
      </c>
      <c r="AA10" s="45">
        <f t="shared" si="8"/>
        <v>0.35271598095474421</v>
      </c>
      <c r="AB10" s="20">
        <f t="shared" si="2"/>
        <v>104.72111111111143</v>
      </c>
      <c r="AC10" s="21">
        <f t="shared" si="3"/>
        <v>10.233333333333348</v>
      </c>
      <c r="AD10" s="21">
        <f t="shared" si="4"/>
        <v>5.6967474726481986E-3</v>
      </c>
      <c r="AE10" s="20">
        <f t="shared" si="5"/>
        <v>104.72111111111143</v>
      </c>
      <c r="AF10" s="21">
        <f t="shared" si="6"/>
        <v>3.2452931767123636E-5</v>
      </c>
    </row>
    <row r="11" spans="1:32" x14ac:dyDescent="0.2">
      <c r="A11" s="21">
        <v>9</v>
      </c>
      <c r="B11" s="20">
        <v>1873.3833333333332</v>
      </c>
      <c r="C11" s="43" t="s">
        <v>75</v>
      </c>
      <c r="D11" s="21">
        <f t="shared" si="0"/>
        <v>2561.2455555555553</v>
      </c>
      <c r="E11" s="39">
        <f t="shared" si="1"/>
        <v>-73.678333333333285</v>
      </c>
      <c r="F11" s="21"/>
      <c r="G11" s="21"/>
      <c r="H11" s="21"/>
      <c r="I11" s="21"/>
      <c r="J11" s="21"/>
      <c r="K11" s="21"/>
      <c r="L11" s="21">
        <f>$D$9+$E$9*A11</f>
        <v>1861.698333333333</v>
      </c>
      <c r="M11" s="21">
        <f>$D$10+$E$10*A11</f>
        <v>1847.902222222222</v>
      </c>
      <c r="N11" s="21">
        <f>$D$11+$E$11*A11</f>
        <v>1898.1405555555557</v>
      </c>
      <c r="O11" s="21"/>
      <c r="P11" s="21"/>
      <c r="Q11" s="21"/>
      <c r="R11" s="21"/>
      <c r="S11" s="21"/>
      <c r="T11" s="43"/>
      <c r="U11" s="21"/>
      <c r="V11" s="21"/>
      <c r="W11" s="21"/>
      <c r="X11" s="21">
        <f>AVERAGE(L11:N11)</f>
        <v>1869.2470370370368</v>
      </c>
      <c r="Y11" s="45">
        <f t="shared" si="7"/>
        <v>62.667037037036835</v>
      </c>
      <c r="Z11" s="21">
        <f>1/19*(1/19+1/18+1/17+1/16+1/15+1/14+1/13+1/12)</f>
        <v>2.7782226961386155E-2</v>
      </c>
      <c r="AA11" s="45">
        <f t="shared" si="8"/>
        <v>1.7410298459605495</v>
      </c>
      <c r="AB11" s="20">
        <f t="shared" si="2"/>
        <v>17.108947050755731</v>
      </c>
      <c r="AC11" s="21">
        <f t="shared" si="3"/>
        <v>4.1362962962964502</v>
      </c>
      <c r="AD11" s="21">
        <f t="shared" si="4"/>
        <v>2.2079284163037199E-3</v>
      </c>
      <c r="AE11" s="20">
        <f t="shared" si="5"/>
        <v>17.108947050755731</v>
      </c>
      <c r="AF11" s="21">
        <f t="shared" si="6"/>
        <v>4.8749478915214528E-6</v>
      </c>
    </row>
    <row r="12" spans="1:32" x14ac:dyDescent="0.2">
      <c r="A12" s="21">
        <v>10</v>
      </c>
      <c r="B12" s="20">
        <v>1873.9766666666665</v>
      </c>
      <c r="C12" s="43" t="s">
        <v>76</v>
      </c>
      <c r="D12" s="21">
        <f t="shared" si="0"/>
        <v>2573.5855555555545</v>
      </c>
      <c r="E12" s="39">
        <f t="shared" si="1"/>
        <v>-72.476666666666574</v>
      </c>
      <c r="F12" s="21"/>
      <c r="G12" s="21"/>
      <c r="H12" s="21"/>
      <c r="I12" s="21"/>
      <c r="J12" s="21"/>
      <c r="K12" s="21"/>
      <c r="L12" s="21"/>
      <c r="M12" s="21">
        <f>$D$10+$E$10*A12</f>
        <v>1886.7172222222218</v>
      </c>
      <c r="N12" s="21">
        <f>$D$11+$E$11*A12</f>
        <v>1824.4622222222224</v>
      </c>
      <c r="O12" s="21">
        <f>$D$12+$E$12*A12</f>
        <v>1848.8188888888888</v>
      </c>
      <c r="P12" s="21"/>
      <c r="Q12" s="21"/>
      <c r="R12" s="21"/>
      <c r="S12" s="21"/>
      <c r="T12" s="43"/>
      <c r="U12" s="21"/>
      <c r="V12" s="21"/>
      <c r="W12" s="21"/>
      <c r="X12" s="21">
        <f>AVERAGE(M12:O12)</f>
        <v>1853.3327777777777</v>
      </c>
      <c r="Y12" s="45">
        <f t="shared" si="7"/>
        <v>-15.914259259259097</v>
      </c>
      <c r="Z12" s="21">
        <f>1/19*(1/19+1/18+1/17+1/16+1/15+1/14+1/13+1/12+1/11)</f>
        <v>3.2566915956601467E-2</v>
      </c>
      <c r="AA12" s="45">
        <f t="shared" si="8"/>
        <v>-0.51827834380785776</v>
      </c>
      <c r="AB12" s="20">
        <f t="shared" si="2"/>
        <v>426.17014845678631</v>
      </c>
      <c r="AC12" s="21">
        <f t="shared" si="3"/>
        <v>20.643888888888796</v>
      </c>
      <c r="AD12" s="21">
        <f t="shared" si="4"/>
        <v>1.1016086409234266E-2</v>
      </c>
      <c r="AE12" s="20">
        <f t="shared" si="5"/>
        <v>426.17014845678631</v>
      </c>
      <c r="AF12" s="21">
        <f t="shared" si="6"/>
        <v>1.213541597757159E-4</v>
      </c>
    </row>
    <row r="13" spans="1:32" x14ac:dyDescent="0.2">
      <c r="A13" s="21">
        <v>11</v>
      </c>
      <c r="B13" s="20">
        <v>1726.0266666666666</v>
      </c>
      <c r="C13" s="43" t="s">
        <v>77</v>
      </c>
      <c r="D13" s="21">
        <f t="shared" si="0"/>
        <v>807.32555555555587</v>
      </c>
      <c r="E13" s="39">
        <f t="shared" si="1"/>
        <v>81.149999999999977</v>
      </c>
      <c r="F13" s="21"/>
      <c r="G13" s="21"/>
      <c r="H13" s="21"/>
      <c r="I13" s="21"/>
      <c r="J13" s="21"/>
      <c r="K13" s="21"/>
      <c r="L13" s="21"/>
      <c r="M13" s="21"/>
      <c r="N13" s="21">
        <f>$D$11+$E$11*A13</f>
        <v>1750.7838888888891</v>
      </c>
      <c r="O13" s="21">
        <f>$D$12+$E$12*A13</f>
        <v>1776.3422222222221</v>
      </c>
      <c r="P13" s="21">
        <f>$D$13+$E$13*A13</f>
        <v>1699.9755555555557</v>
      </c>
      <c r="Q13" s="21"/>
      <c r="R13" s="21"/>
      <c r="S13" s="21"/>
      <c r="T13" s="21"/>
      <c r="U13" s="21"/>
      <c r="V13" s="21"/>
      <c r="W13" s="21"/>
      <c r="X13" s="21">
        <f>AVERAGE(N13:P13)</f>
        <v>1742.3672222222224</v>
      </c>
      <c r="Y13" s="45">
        <f t="shared" si="7"/>
        <v>-110.96555555555528</v>
      </c>
      <c r="Z13" s="21">
        <f>1/19*(1/19+1/18+1/17+1/16+1/15+1/14+1/13+1/12+1/11+1/10)</f>
        <v>3.7830073851338304E-2</v>
      </c>
      <c r="AA13" s="45">
        <f>Y13*Z13</f>
        <v>-4.1978351616214402</v>
      </c>
      <c r="AB13" s="20">
        <f t="shared" si="2"/>
        <v>267.01375586420352</v>
      </c>
      <c r="AC13" s="21">
        <f t="shared" si="3"/>
        <v>16.340555555555738</v>
      </c>
      <c r="AD13" s="21">
        <f t="shared" si="4"/>
        <v>9.4671512735738372E-3</v>
      </c>
      <c r="AE13" s="20">
        <f t="shared" si="5"/>
        <v>267.01375586420352</v>
      </c>
      <c r="AF13" s="21">
        <f t="shared" si="6"/>
        <v>8.9626953236730732E-5</v>
      </c>
    </row>
    <row r="14" spans="1:32" x14ac:dyDescent="0.2">
      <c r="A14" s="21">
        <v>12</v>
      </c>
      <c r="B14" s="20">
        <v>1729.0233333333333</v>
      </c>
      <c r="C14" s="43" t="s">
        <v>78</v>
      </c>
      <c r="D14" s="21">
        <f t="shared" si="0"/>
        <v>245.12388888888881</v>
      </c>
      <c r="E14" s="39">
        <f t="shared" si="1"/>
        <v>124.62166666666667</v>
      </c>
      <c r="F14" s="21"/>
      <c r="G14" s="21"/>
      <c r="H14" s="21"/>
      <c r="I14" s="21"/>
      <c r="J14" s="21"/>
      <c r="K14" s="21"/>
      <c r="L14" s="21"/>
      <c r="M14" s="21"/>
      <c r="N14" s="21"/>
      <c r="O14" s="21">
        <f>$D$12+$E$12*A14</f>
        <v>1703.8655555555556</v>
      </c>
      <c r="P14" s="21">
        <f>$D$13+$E$13*A14</f>
        <v>1781.1255555555556</v>
      </c>
      <c r="Q14" s="21">
        <f>$D$14+$E$14*A14</f>
        <v>1740.5838888888889</v>
      </c>
      <c r="R14" s="21"/>
      <c r="S14" s="21"/>
      <c r="T14" s="21"/>
      <c r="U14" s="21"/>
      <c r="V14" s="21"/>
      <c r="W14" s="21"/>
      <c r="X14" s="21">
        <f>AVERAGE(O14:Q14)</f>
        <v>1741.8583333333336</v>
      </c>
      <c r="Y14" s="45">
        <f t="shared" si="7"/>
        <v>-0.50888888888880501</v>
      </c>
      <c r="Z14" s="21">
        <f>1/19*(1/9+1/19+1/18+1/17+1/16+1/15+1/14+1/13+1/12+1/11+1/10)</f>
        <v>4.367802706771258E-2</v>
      </c>
      <c r="AA14" s="45">
        <f t="shared" si="8"/>
        <v>-2.2227262663343406E-2</v>
      </c>
      <c r="AB14" s="20">
        <f t="shared" si="2"/>
        <v>164.73722500000676</v>
      </c>
      <c r="AC14" s="21">
        <f t="shared" si="3"/>
        <v>12.835000000000264</v>
      </c>
      <c r="AD14" s="21">
        <f t="shared" si="4"/>
        <v>7.423265928549411E-3</v>
      </c>
      <c r="AE14" s="20">
        <f t="shared" si="5"/>
        <v>164.73722500000676</v>
      </c>
      <c r="AF14" s="21">
        <f t="shared" si="6"/>
        <v>5.5104877045962547E-5</v>
      </c>
    </row>
    <row r="15" spans="1:32" x14ac:dyDescent="0.2">
      <c r="A15" s="21">
        <v>13</v>
      </c>
      <c r="B15" s="20">
        <v>1888.3266666666666</v>
      </c>
      <c r="C15" s="43" t="s">
        <v>79</v>
      </c>
      <c r="D15" s="21">
        <f t="shared" si="0"/>
        <v>1650.1066666666663</v>
      </c>
      <c r="E15" s="39">
        <f t="shared" si="1"/>
        <v>20.115000000000009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>
        <f>$D$13+$E$13*A15</f>
        <v>1862.2755555555557</v>
      </c>
      <c r="Q15" s="21">
        <f>$D$14+$E$14*A15</f>
        <v>1865.2055555555555</v>
      </c>
      <c r="R15" s="21">
        <f>$D$15+$E$15*A15</f>
        <v>1911.6016666666665</v>
      </c>
      <c r="S15" s="21"/>
      <c r="T15" s="21"/>
      <c r="U15" s="21"/>
      <c r="V15" s="21"/>
      <c r="W15" s="21"/>
      <c r="X15" s="21">
        <f>AVERAGE(P15:R15)</f>
        <v>1879.6942592592593</v>
      </c>
      <c r="Y15" s="45">
        <f t="shared" si="7"/>
        <v>137.83592592592572</v>
      </c>
      <c r="Z15" s="21">
        <f>1/19*(1/9+1/8 +1/19+1/18+1/17+1/16+1/15+1/14+1/13+1/12+1/11+1/10)</f>
        <v>5.0256974436133632E-2</v>
      </c>
      <c r="AA15" s="45">
        <f t="shared" si="8"/>
        <v>6.9272166056400577</v>
      </c>
      <c r="AB15" s="20">
        <f t="shared" si="2"/>
        <v>74.518457647460423</v>
      </c>
      <c r="AC15" s="21">
        <f t="shared" si="3"/>
        <v>8.6324074074072996</v>
      </c>
      <c r="AD15" s="21">
        <f t="shared" si="4"/>
        <v>4.5714587204583072E-3</v>
      </c>
      <c r="AE15" s="20">
        <f t="shared" si="5"/>
        <v>74.518457647460423</v>
      </c>
      <c r="AF15" s="21">
        <f t="shared" si="6"/>
        <v>2.0898234832854302E-5</v>
      </c>
    </row>
    <row r="16" spans="1:32" x14ac:dyDescent="0.2">
      <c r="A16" s="21">
        <v>14</v>
      </c>
      <c r="B16" s="20">
        <v>1978.2666666666667</v>
      </c>
      <c r="C16" s="43" t="s">
        <v>81</v>
      </c>
      <c r="D16" s="21">
        <f t="shared" si="0"/>
        <v>1981.4288888888887</v>
      </c>
      <c r="E16" s="39">
        <f t="shared" si="1"/>
        <v>-1.3766666666666652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>
        <f>$D$14+$E$14*A16</f>
        <v>1989.8272222222222</v>
      </c>
      <c r="R16" s="21">
        <f>$D$15+$E$15*A16</f>
        <v>1931.7166666666665</v>
      </c>
      <c r="S16" s="21">
        <f>$D$15+$E$15*A16</f>
        <v>1931.7166666666665</v>
      </c>
      <c r="T16" s="21"/>
      <c r="U16" s="21"/>
      <c r="V16" s="21"/>
      <c r="W16" s="21"/>
      <c r="X16" s="21">
        <f>AVERAGE(Q16:S16)</f>
        <v>1951.0868518518516</v>
      </c>
      <c r="Y16" s="45">
        <f t="shared" si="7"/>
        <v>71.392592592592337</v>
      </c>
      <c r="Z16" s="21">
        <f>1/19*(1/9+1/7+1/8 +1/19+1/18+1/17+1/16+1/15+1/14+1/13+1/12+1/11+1/10)</f>
        <v>5.7775771428614835E-2</v>
      </c>
      <c r="AA16" s="45">
        <f>Y16*Z16</f>
        <v>4.1247621113258353</v>
      </c>
      <c r="AB16" s="20">
        <f t="shared" si="2"/>
        <v>738.74233336763791</v>
      </c>
      <c r="AC16" s="21">
        <f t="shared" si="3"/>
        <v>27.179814814815018</v>
      </c>
      <c r="AD16" s="21">
        <f t="shared" si="4"/>
        <v>1.373920678783532E-2</v>
      </c>
      <c r="AE16" s="20">
        <f t="shared" si="5"/>
        <v>738.74233336763791</v>
      </c>
      <c r="AF16" s="21">
        <f t="shared" si="6"/>
        <v>1.8876580315890012E-4</v>
      </c>
    </row>
    <row r="17" spans="1:32" x14ac:dyDescent="0.2">
      <c r="A17" s="21">
        <v>15</v>
      </c>
      <c r="B17" s="20">
        <v>1928.5566666666666</v>
      </c>
      <c r="C17" s="43" t="s">
        <v>82</v>
      </c>
      <c r="D17" s="21">
        <f t="shared" si="0"/>
        <v>846.29111111111069</v>
      </c>
      <c r="E17" s="39">
        <f t="shared" si="1"/>
        <v>71.603333333333353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>
        <f>$D$15+$E$15*A17</f>
        <v>1951.8316666666665</v>
      </c>
      <c r="S17" s="21">
        <f>$D$15+$E$15*A17</f>
        <v>1951.8316666666665</v>
      </c>
      <c r="T17" s="21">
        <f>$D$15+$E$15*A17</f>
        <v>1951.8316666666665</v>
      </c>
      <c r="U17" s="21"/>
      <c r="V17" s="21"/>
      <c r="W17" s="21"/>
      <c r="X17" s="21">
        <f>AVERAGE(R17:T17)</f>
        <v>1951.8316666666663</v>
      </c>
      <c r="Y17" s="45">
        <f t="shared" si="7"/>
        <v>0.74481481481461742</v>
      </c>
      <c r="Z17" s="21">
        <f>1/19*(1/9+1/7+1/6+1/8 +1/19+1/18+1/17+1/16+1/15+1/14+1/13+1/12+1/11+1/10)</f>
        <v>6.6547701253176231E-2</v>
      </c>
      <c r="AA17" s="45">
        <f t="shared" si="8"/>
        <v>4.956571378522294E-2</v>
      </c>
      <c r="AB17" s="20">
        <f t="shared" si="2"/>
        <v>541.7256249999831</v>
      </c>
      <c r="AC17" s="21">
        <f t="shared" si="3"/>
        <v>23.274999999999636</v>
      </c>
      <c r="AD17" s="21">
        <f t="shared" si="4"/>
        <v>1.206861089554E-2</v>
      </c>
      <c r="AE17" s="20">
        <f t="shared" si="5"/>
        <v>541.7256249999831</v>
      </c>
      <c r="AF17" s="21">
        <f t="shared" si="6"/>
        <v>1.456513689479468E-4</v>
      </c>
    </row>
    <row r="18" spans="1:32" x14ac:dyDescent="0.2">
      <c r="A18" s="21">
        <v>16</v>
      </c>
      <c r="B18" s="20">
        <v>1975.5133333333333</v>
      </c>
      <c r="C18" s="43" t="s">
        <v>80</v>
      </c>
      <c r="D18" s="21">
        <f t="shared" si="0"/>
        <v>-939.15444444444165</v>
      </c>
      <c r="E18" s="39">
        <f t="shared" si="1"/>
        <v>180.41333333333318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>
        <f>$D$15+$E$15*A18</f>
        <v>1971.9466666666665</v>
      </c>
      <c r="T18" s="21">
        <f>$D$15+$E$15*A18</f>
        <v>1971.9466666666665</v>
      </c>
      <c r="U18" s="21">
        <f>$D$15+$E$15*A18</f>
        <v>1971.9466666666665</v>
      </c>
      <c r="V18" s="21"/>
      <c r="W18" s="21"/>
      <c r="X18" s="21">
        <f>AVERAGE(S18:U18)</f>
        <v>1971.9466666666665</v>
      </c>
      <c r="Y18" s="45">
        <f t="shared" si="7"/>
        <v>20.115000000000236</v>
      </c>
      <c r="Z18" s="21">
        <f>1/19*(1/9+1/7+1/5+1/6+1/8 +1/19+1/18+1/17+1/16+1/15+1/14+1/13+1/12+1/11+1/10)</f>
        <v>7.7074017042649906E-2</v>
      </c>
      <c r="AA18" s="45">
        <f t="shared" si="8"/>
        <v>1.550343852812921</v>
      </c>
      <c r="AB18" s="20">
        <f t="shared" si="2"/>
        <v>12.7211111111123</v>
      </c>
      <c r="AC18" s="21">
        <f t="shared" si="3"/>
        <v>3.5666666666668334</v>
      </c>
      <c r="AD18" s="21">
        <f t="shared" si="4"/>
        <v>1.8054379114965057E-3</v>
      </c>
      <c r="AE18" s="20">
        <f t="shared" si="5"/>
        <v>12.7211111111123</v>
      </c>
      <c r="AF18" s="21">
        <f t="shared" si="6"/>
        <v>3.2596060522688644E-6</v>
      </c>
    </row>
    <row r="19" spans="1:32" x14ac:dyDescent="0.2">
      <c r="A19" s="21">
        <v>17</v>
      </c>
      <c r="B19" s="20">
        <v>2071.7633333333333</v>
      </c>
      <c r="C19" s="43" t="s">
        <v>83</v>
      </c>
      <c r="D19" s="21">
        <f t="shared" si="0"/>
        <v>-1374.9177777777813</v>
      </c>
      <c r="E19" s="39">
        <f t="shared" si="1"/>
        <v>203.93500000000017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>
        <f>$D$15+$E$15*A19</f>
        <v>1992.0616666666665</v>
      </c>
      <c r="U19" s="21">
        <f>$D$15+$E$15*A19</f>
        <v>1992.0616666666665</v>
      </c>
      <c r="V19" s="21">
        <f>$D$15+$E$15*A19</f>
        <v>1992.0616666666665</v>
      </c>
      <c r="W19" s="21"/>
      <c r="X19" s="43">
        <f>AVERAGE(T19:V19)</f>
        <v>1992.0616666666665</v>
      </c>
      <c r="Y19" s="45">
        <f t="shared" si="7"/>
        <v>20.115000000000009</v>
      </c>
      <c r="Z19" s="21">
        <f>1/19*(1/9+1/7+1/4+1/5+1/6+1/8 +1/19+1/18+1/17+1/16+1/15+1/14+1/13+1/12+1/11+1/10)</f>
        <v>9.0231911779492011E-2</v>
      </c>
      <c r="AA19" s="45">
        <f>Y19*Z19</f>
        <v>1.8150149054444826</v>
      </c>
      <c r="AB19" s="20">
        <f t="shared" si="2"/>
        <v>6352.3556694444696</v>
      </c>
      <c r="AC19" s="21">
        <f t="shared" si="3"/>
        <v>79.701666666666824</v>
      </c>
      <c r="AD19" s="21">
        <f t="shared" si="4"/>
        <v>3.8470449488278179E-2</v>
      </c>
      <c r="AE19" s="20">
        <f t="shared" si="5"/>
        <v>6352.3556694444696</v>
      </c>
      <c r="AF19" s="21">
        <f t="shared" si="6"/>
        <v>1.4799754838301627E-3</v>
      </c>
    </row>
    <row r="20" spans="1:32" x14ac:dyDescent="0.2">
      <c r="A20" s="21">
        <v>18</v>
      </c>
      <c r="B20" s="20">
        <v>2336.3399999999997</v>
      </c>
      <c r="C20" s="43" t="s">
        <v>84</v>
      </c>
      <c r="D20" s="21">
        <f t="shared" si="0"/>
        <v>-610.95111111111328</v>
      </c>
      <c r="E20" s="39">
        <f t="shared" si="1"/>
        <v>163.36666666666679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>
        <f>$D$15+$E$15*A20</f>
        <v>2012.1766666666665</v>
      </c>
      <c r="V20" s="21">
        <f>$D$15+$E$15*A20</f>
        <v>2012.1766666666665</v>
      </c>
      <c r="W20" s="21">
        <f>$D$15+$E$15*A20</f>
        <v>2012.1766666666665</v>
      </c>
      <c r="X20" s="21">
        <f>AVERAGE(U20:W20)</f>
        <v>2012.1766666666665</v>
      </c>
      <c r="Y20" s="45">
        <f>X20-X19</f>
        <v>20.115000000000009</v>
      </c>
      <c r="Z20" s="21">
        <f>1/19*(1/9+1/3+1/4+1/7+1/5+1/6+1/8 +1/19+1/18+1/17+1/16+1/15+1/14+1/13+1/12+1/11+1/10)</f>
        <v>0.10777577142861482</v>
      </c>
      <c r="AA20" s="45">
        <f>Y20*Z20</f>
        <v>2.1679096422865882</v>
      </c>
      <c r="AB20" s="20">
        <f t="shared" si="2"/>
        <v>105081.86667777768</v>
      </c>
      <c r="AC20" s="21">
        <f t="shared" si="3"/>
        <v>324.16333333333318</v>
      </c>
      <c r="AD20" s="21">
        <f t="shared" si="4"/>
        <v>0.13874835569023911</v>
      </c>
      <c r="AE20" s="20">
        <f t="shared" si="5"/>
        <v>105081.86667777768</v>
      </c>
      <c r="AF20" s="21">
        <f t="shared" si="6"/>
        <v>1.9251106206745108E-2</v>
      </c>
    </row>
    <row r="21" spans="1:32" x14ac:dyDescent="0.2">
      <c r="A21" s="21">
        <v>19</v>
      </c>
      <c r="B21" s="20">
        <v>2479.6333333333337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>
        <f>$D$15+$E$15*A21</f>
        <v>2032.2916666666665</v>
      </c>
      <c r="W21" s="21">
        <f>$D$15+$E$15*A21</f>
        <v>2032.2916666666665</v>
      </c>
      <c r="X21" s="21">
        <f>AVERAGE(V21:W21)</f>
        <v>2032.2916666666665</v>
      </c>
      <c r="Y21" s="45">
        <f t="shared" si="7"/>
        <v>20.115000000000009</v>
      </c>
      <c r="Z21" s="21">
        <f>1/19*(1/9+1/3+1/4+1/2+1/7+1/5+1/6+1/8 +1/19+1/18+1/17+1/16+1/15+1/14+1/13+1/12+1/11+1/10)</f>
        <v>0.13409156090229907</v>
      </c>
      <c r="AA21" s="45">
        <f>Y21*Z21</f>
        <v>2.6972517475497471</v>
      </c>
      <c r="AB21" s="58">
        <f t="shared" si="2"/>
        <v>200114.56673611153</v>
      </c>
      <c r="AC21" s="57">
        <f t="shared" si="3"/>
        <v>447.34166666666715</v>
      </c>
      <c r="AD21" s="57">
        <f t="shared" si="4"/>
        <v>0.18040637728696465</v>
      </c>
      <c r="AE21" s="58">
        <f t="shared" si="5"/>
        <v>200114.56673611153</v>
      </c>
      <c r="AF21" s="57">
        <f t="shared" si="6"/>
        <v>3.2546460965806635E-2</v>
      </c>
    </row>
    <row r="22" spans="1:32" x14ac:dyDescent="0.2">
      <c r="A22" s="21">
        <v>20</v>
      </c>
      <c r="B22" s="20">
        <v>2663.0733333333333</v>
      </c>
      <c r="V22" t="s">
        <v>110</v>
      </c>
      <c r="W22" s="21">
        <f>$D$15+$E$15*A22</f>
        <v>2052.4066666666668</v>
      </c>
      <c r="X22" s="21">
        <f>AVERAGE(W22)</f>
        <v>2052.4066666666668</v>
      </c>
      <c r="Y22" s="45">
        <f t="shared" si="7"/>
        <v>20.115000000000236</v>
      </c>
      <c r="Z22" s="21">
        <f>1/19*(1/9+1/3+1/1+1/4+1/2+1/7+1/5+1/6+1/8 +1/19+1/18+1/17+1/16+1/15+1/14+1/13+1/12+1/11+1/10)</f>
        <v>0.18672313984966749</v>
      </c>
      <c r="AA22" s="45">
        <f t="shared" si="8"/>
        <v>3.7559359580761056</v>
      </c>
      <c r="AB22" s="20">
        <f>SUM(AB3:AB21)</f>
        <v>316297.87195985118</v>
      </c>
      <c r="AC22" s="59">
        <f t="shared" ref="AC22:AF22" si="9">SUM(AC3:AC21)</f>
        <v>1083.9887962962976</v>
      </c>
      <c r="AD22" s="59">
        <f t="shared" si="9"/>
        <v>0.48531740577784466</v>
      </c>
      <c r="AE22" s="59">
        <f t="shared" si="9"/>
        <v>316297.87195985118</v>
      </c>
      <c r="AF22" s="59">
        <f t="shared" si="9"/>
        <v>5.4700110501595872E-2</v>
      </c>
    </row>
    <row r="23" spans="1:32" x14ac:dyDescent="0.2">
      <c r="Z23" s="30">
        <f>SUM(Z4:Z22)</f>
        <v>0.99999999999999989</v>
      </c>
      <c r="AA23" s="46">
        <f>SUM(AA4:AA22)</f>
        <v>20.505972136962878</v>
      </c>
      <c r="AB23" s="42">
        <f>SQRT(AB22/19)</f>
        <v>129.02424740698754</v>
      </c>
      <c r="AE23" s="5"/>
    </row>
    <row r="24" spans="1:32" x14ac:dyDescent="0.2">
      <c r="A24" s="42" t="s">
        <v>64</v>
      </c>
      <c r="B24" s="42" t="s">
        <v>109</v>
      </c>
      <c r="C24" s="42" t="s">
        <v>253</v>
      </c>
      <c r="AE24" s="5"/>
    </row>
    <row r="25" spans="1:32" x14ac:dyDescent="0.2">
      <c r="A25" s="21">
        <v>21</v>
      </c>
      <c r="B25" s="30">
        <f>$W$22+(A25-20)*$AA$23</f>
        <v>2072.9126388036298</v>
      </c>
      <c r="C25" s="21">
        <f>$AB$23/B25</f>
        <v>6.2242973964138297E-2</v>
      </c>
      <c r="AE25" s="5"/>
    </row>
    <row r="26" spans="1:32" x14ac:dyDescent="0.2">
      <c r="A26" s="21">
        <v>22</v>
      </c>
      <c r="B26" s="30">
        <f>$W$22+(A26-20)*$AA$23</f>
        <v>2093.4186109405923</v>
      </c>
      <c r="C26" s="21">
        <f t="shared" ref="C26:C27" si="10">$AB$23/B26</f>
        <v>6.1633276179299729E-2</v>
      </c>
      <c r="AE26" s="5"/>
    </row>
    <row r="27" spans="1:32" x14ac:dyDescent="0.2">
      <c r="A27" s="21">
        <v>23</v>
      </c>
      <c r="B27" s="30">
        <f>$W$22+(A27-20)*$AA$23</f>
        <v>2113.9245830775553</v>
      </c>
      <c r="C27" s="21">
        <f t="shared" si="10"/>
        <v>6.1035407052766139E-2</v>
      </c>
      <c r="AE27" s="5"/>
    </row>
    <row r="31" spans="1:32" x14ac:dyDescent="0.2">
      <c r="E31" s="4"/>
      <c r="AA31" s="6"/>
    </row>
    <row r="32" spans="1:32" x14ac:dyDescent="0.2">
      <c r="E32" s="4"/>
    </row>
    <row r="33" spans="5:5" x14ac:dyDescent="0.2">
      <c r="E33" s="4"/>
    </row>
    <row r="34" spans="5:5" x14ac:dyDescent="0.2">
      <c r="E34" s="4"/>
    </row>
    <row r="35" spans="5:5" x14ac:dyDescent="0.2">
      <c r="E35" s="4"/>
    </row>
    <row r="36" spans="5:5" x14ac:dyDescent="0.2">
      <c r="E36" s="4"/>
    </row>
    <row r="37" spans="5:5" x14ac:dyDescent="0.2">
      <c r="E37" s="4"/>
    </row>
    <row r="38" spans="5:5" x14ac:dyDescent="0.2">
      <c r="E38" s="4"/>
    </row>
    <row r="39" spans="5:5" x14ac:dyDescent="0.2">
      <c r="E39" s="4"/>
    </row>
    <row r="40" spans="5:5" x14ac:dyDescent="0.2">
      <c r="E40" s="4"/>
    </row>
    <row r="41" spans="5:5" x14ac:dyDescent="0.2">
      <c r="E41" s="4"/>
    </row>
    <row r="42" spans="5:5" x14ac:dyDescent="0.2">
      <c r="E42" s="4"/>
    </row>
    <row r="43" spans="5:5" x14ac:dyDescent="0.2">
      <c r="E43" s="4"/>
    </row>
    <row r="44" spans="5:5" x14ac:dyDescent="0.2">
      <c r="E44" s="4"/>
    </row>
    <row r="45" spans="5:5" x14ac:dyDescent="0.2">
      <c r="E45" s="4"/>
    </row>
    <row r="46" spans="5:5" x14ac:dyDescent="0.2">
      <c r="E46" s="4"/>
    </row>
    <row r="47" spans="5:5" x14ac:dyDescent="0.2">
      <c r="E47" s="4"/>
    </row>
    <row r="48" spans="5:5" x14ac:dyDescent="0.2">
      <c r="E48" s="4"/>
    </row>
    <row r="50" spans="5:5" x14ac:dyDescent="0.2">
      <c r="E50" s="4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904C-3228-5641-BFE8-A4F134FF390F}">
  <dimension ref="A4:K49"/>
  <sheetViews>
    <sheetView zoomScale="64" workbookViewId="0">
      <selection activeCell="D40" sqref="D40"/>
    </sheetView>
  </sheetViews>
  <sheetFormatPr baseColWidth="10" defaultRowHeight="16" x14ac:dyDescent="0.2"/>
  <cols>
    <col min="2" max="2" width="15.6640625" customWidth="1"/>
    <col min="4" max="4" width="15" customWidth="1"/>
    <col min="5" max="5" width="14.33203125" customWidth="1"/>
    <col min="11" max="11" width="16.5" customWidth="1"/>
  </cols>
  <sheetData>
    <row r="4" spans="1:11" ht="48" customHeight="1" x14ac:dyDescent="0.2">
      <c r="A4" s="26" t="s">
        <v>136</v>
      </c>
      <c r="B4" s="41" t="s">
        <v>142</v>
      </c>
      <c r="C4" s="42" t="s">
        <v>0</v>
      </c>
      <c r="D4" s="42" t="s">
        <v>143</v>
      </c>
      <c r="E4" s="42" t="s">
        <v>144</v>
      </c>
      <c r="F4" s="42" t="s">
        <v>121</v>
      </c>
      <c r="G4" s="42" t="s">
        <v>145</v>
      </c>
      <c r="H4" s="42" t="s">
        <v>244</v>
      </c>
      <c r="I4" s="42" t="s">
        <v>245</v>
      </c>
      <c r="J4" s="42" t="s">
        <v>246</v>
      </c>
      <c r="K4" s="42" t="s">
        <v>247</v>
      </c>
    </row>
    <row r="5" spans="1:11" x14ac:dyDescent="0.2">
      <c r="A5" s="34" t="s">
        <v>137</v>
      </c>
      <c r="B5" s="21">
        <v>1</v>
      </c>
      <c r="C5" s="20">
        <v>1583.2333333333333</v>
      </c>
      <c r="D5" s="35">
        <f>C5</f>
        <v>1583.2333333333333</v>
      </c>
      <c r="E5" s="20">
        <f>C6-C5</f>
        <v>127.20000000000005</v>
      </c>
      <c r="F5" s="21"/>
      <c r="G5" s="21"/>
      <c r="H5" s="21">
        <f t="shared" ref="H5:H22" si="0">((C7-F7)/C7)^2</f>
        <v>1.5266428642131259E-3</v>
      </c>
      <c r="I5" s="35">
        <f t="shared" ref="I5:I22" si="1">(C7-F7)^2</f>
        <v>5583.078400000004</v>
      </c>
      <c r="J5" s="21">
        <f t="shared" ref="J5:J22" si="2">ABS((C7-F7)/C7)</f>
        <v>3.9072277438269784E-2</v>
      </c>
      <c r="K5" s="21">
        <f t="shared" ref="K5:K22" si="3">ABS(C7-F7)</f>
        <v>74.720000000000027</v>
      </c>
    </row>
    <row r="6" spans="1:11" x14ac:dyDescent="0.2">
      <c r="A6" s="34" t="s">
        <v>138</v>
      </c>
      <c r="B6" s="21">
        <v>2</v>
      </c>
      <c r="C6" s="20">
        <v>1710.4333333333334</v>
      </c>
      <c r="D6" s="35">
        <f t="shared" ref="D6:D24" si="4">$F$30*C6+(1-$F$30)*(D5+E5)</f>
        <v>1710.4333333333334</v>
      </c>
      <c r="E6" s="21">
        <f t="shared" ref="E6:E24" si="5">$F$31*(D6-D5)+(1-$F$31)*E5</f>
        <v>127.20000000000003</v>
      </c>
      <c r="F6" s="35">
        <f>D5+E5</f>
        <v>1710.4333333333334</v>
      </c>
      <c r="G6" s="21"/>
      <c r="H6" s="21">
        <f t="shared" si="0"/>
        <v>1.088607353849123E-2</v>
      </c>
      <c r="I6" s="35">
        <f t="shared" si="1"/>
        <v>38271.216207959958</v>
      </c>
      <c r="J6" s="21">
        <f t="shared" si="2"/>
        <v>0.10433634811747644</v>
      </c>
      <c r="K6" s="21">
        <f t="shared" si="3"/>
        <v>195.63030493244128</v>
      </c>
    </row>
    <row r="7" spans="1:11" x14ac:dyDescent="0.2">
      <c r="A7" s="34" t="s">
        <v>139</v>
      </c>
      <c r="B7" s="21">
        <v>3</v>
      </c>
      <c r="C7" s="20">
        <v>1912.3533333333335</v>
      </c>
      <c r="D7" s="35">
        <f t="shared" si="4"/>
        <v>1912.3533333333335</v>
      </c>
      <c r="E7" s="21">
        <f t="shared" si="5"/>
        <v>158.27363826577431</v>
      </c>
      <c r="F7" s="35">
        <f>D6+E6</f>
        <v>1837.6333333333334</v>
      </c>
      <c r="G7" s="20">
        <f>(C7-F7)^2</f>
        <v>5583.078400000004</v>
      </c>
      <c r="H7" s="21">
        <f t="shared" si="0"/>
        <v>7.3492337168316966E-3</v>
      </c>
      <c r="I7" s="35">
        <f t="shared" si="1"/>
        <v>23753.170716083529</v>
      </c>
      <c r="J7" s="21">
        <f t="shared" si="2"/>
        <v>8.572767182673105E-2</v>
      </c>
      <c r="K7" s="21">
        <f t="shared" si="3"/>
        <v>154.12063689228489</v>
      </c>
    </row>
    <row r="8" spans="1:11" x14ac:dyDescent="0.2">
      <c r="A8" s="34" t="s">
        <v>140</v>
      </c>
      <c r="B8" s="21">
        <v>4</v>
      </c>
      <c r="C8" s="20">
        <v>1874.9966666666667</v>
      </c>
      <c r="D8" s="35">
        <f t="shared" si="4"/>
        <v>1874.9966666666667</v>
      </c>
      <c r="E8" s="21">
        <f t="shared" si="5"/>
        <v>76.917303558951588</v>
      </c>
      <c r="F8" s="21">
        <f t="shared" ref="F8:F17" si="6">D7+E7</f>
        <v>2070.6269715991079</v>
      </c>
      <c r="G8" s="20">
        <f>(C8-F8)^2</f>
        <v>38271.216207959958</v>
      </c>
      <c r="H8" s="21">
        <f t="shared" si="0"/>
        <v>5.7175946454453547E-6</v>
      </c>
      <c r="I8" s="35">
        <f t="shared" si="1"/>
        <v>18.83414385399087</v>
      </c>
      <c r="J8" s="21">
        <f t="shared" si="2"/>
        <v>2.3911492311115496E-3</v>
      </c>
      <c r="K8" s="21">
        <f t="shared" si="3"/>
        <v>4.3398322380007812</v>
      </c>
    </row>
    <row r="9" spans="1:11" x14ac:dyDescent="0.2">
      <c r="A9" s="34" t="s">
        <v>141</v>
      </c>
      <c r="B9" s="21">
        <v>5</v>
      </c>
      <c r="C9" s="20">
        <v>1797.7933333333333</v>
      </c>
      <c r="D9" s="35">
        <f t="shared" si="4"/>
        <v>1797.7933333333333</v>
      </c>
      <c r="E9" s="21">
        <f t="shared" si="5"/>
        <v>12.82350109533261</v>
      </c>
      <c r="F9" s="21">
        <f t="shared" si="6"/>
        <v>1951.9139702256182</v>
      </c>
      <c r="G9" s="21">
        <f t="shared" ref="G9:G17" si="7">(C9-F9)^2</f>
        <v>23753.170716083529</v>
      </c>
      <c r="H9" s="21">
        <f t="shared" si="0"/>
        <v>5.0381395252595913E-4</v>
      </c>
      <c r="I9" s="35">
        <f t="shared" si="1"/>
        <v>1613.2243354804145</v>
      </c>
      <c r="J9" s="21">
        <f t="shared" si="2"/>
        <v>2.2445800331597873E-2</v>
      </c>
      <c r="K9" s="21">
        <f t="shared" si="3"/>
        <v>40.164964029367866</v>
      </c>
    </row>
    <row r="10" spans="1:11" x14ac:dyDescent="0.2">
      <c r="A10" s="34" t="s">
        <v>138</v>
      </c>
      <c r="B10" s="21">
        <v>6</v>
      </c>
      <c r="C10" s="20">
        <v>1814.9566666666667</v>
      </c>
      <c r="D10" s="35">
        <f t="shared" si="4"/>
        <v>1814.9566666666667</v>
      </c>
      <c r="E10" s="21">
        <f t="shared" si="5"/>
        <v>14.628297362701218</v>
      </c>
      <c r="F10" s="21">
        <f t="shared" si="6"/>
        <v>1810.6168344286659</v>
      </c>
      <c r="G10" s="21">
        <f t="shared" si="7"/>
        <v>18.83414385399087</v>
      </c>
      <c r="H10" s="21">
        <f t="shared" si="0"/>
        <v>2.5111177522042155E-5</v>
      </c>
      <c r="I10" s="35">
        <f t="shared" si="1"/>
        <v>81.030288119626903</v>
      </c>
      <c r="J10" s="21">
        <f t="shared" si="2"/>
        <v>5.0111054191707199E-3</v>
      </c>
      <c r="K10" s="21">
        <f t="shared" si="3"/>
        <v>9.0016825160425924</v>
      </c>
    </row>
    <row r="11" spans="1:11" x14ac:dyDescent="0.2">
      <c r="A11" s="34" t="s">
        <v>139</v>
      </c>
      <c r="B11" s="21">
        <v>7</v>
      </c>
      <c r="C11" s="20">
        <v>1789.42</v>
      </c>
      <c r="D11" s="35">
        <f t="shared" si="4"/>
        <v>1789.42</v>
      </c>
      <c r="E11" s="21">
        <f t="shared" si="5"/>
        <v>-2.0750158493760367</v>
      </c>
      <c r="F11" s="35">
        <f>D10+E10</f>
        <v>1829.5849640293679</v>
      </c>
      <c r="G11" s="21">
        <f t="shared" si="7"/>
        <v>1613.2243354804145</v>
      </c>
      <c r="H11" s="21">
        <f t="shared" si="0"/>
        <v>1.6185371483532264E-3</v>
      </c>
      <c r="I11" s="35">
        <f t="shared" si="1"/>
        <v>5680.3615109440943</v>
      </c>
      <c r="J11" s="21">
        <f t="shared" si="2"/>
        <v>4.0231047070058049E-2</v>
      </c>
      <c r="K11" s="21">
        <f t="shared" si="3"/>
        <v>75.368173063595577</v>
      </c>
    </row>
    <row r="12" spans="1:11" x14ac:dyDescent="0.2">
      <c r="A12" s="34" t="s">
        <v>140</v>
      </c>
      <c r="B12" s="21">
        <v>8</v>
      </c>
      <c r="C12" s="20">
        <v>1796.3466666666666</v>
      </c>
      <c r="D12" s="35">
        <f t="shared" si="4"/>
        <v>1796.3466666666666</v>
      </c>
      <c r="E12" s="21">
        <f t="shared" si="5"/>
        <v>1.6684936030711113</v>
      </c>
      <c r="F12" s="21">
        <f t="shared" si="6"/>
        <v>1787.344984150624</v>
      </c>
      <c r="G12" s="21">
        <f t="shared" si="7"/>
        <v>81.030288119626903</v>
      </c>
      <c r="H12" s="21">
        <f t="shared" si="0"/>
        <v>2.9926334821058902E-4</v>
      </c>
      <c r="I12" s="35">
        <f t="shared" si="1"/>
        <v>1050.9495988459971</v>
      </c>
      <c r="J12" s="21">
        <f t="shared" si="2"/>
        <v>1.7299229699919851E-2</v>
      </c>
      <c r="K12" s="21">
        <f t="shared" si="3"/>
        <v>32.418352808956797</v>
      </c>
    </row>
    <row r="13" spans="1:11" x14ac:dyDescent="0.2">
      <c r="A13" s="34" t="s">
        <v>141</v>
      </c>
      <c r="B13" s="21">
        <v>9</v>
      </c>
      <c r="C13" s="20">
        <v>1873.3833333333332</v>
      </c>
      <c r="D13" s="35">
        <f t="shared" si="4"/>
        <v>1873.3833333333332</v>
      </c>
      <c r="E13" s="21">
        <f t="shared" si="5"/>
        <v>33.011686142290067</v>
      </c>
      <c r="F13" s="21">
        <f t="shared" si="6"/>
        <v>1798.0151602697376</v>
      </c>
      <c r="G13" s="21">
        <f t="shared" si="7"/>
        <v>5680.3615109440943</v>
      </c>
      <c r="H13" s="21">
        <f t="shared" si="0"/>
        <v>9.4152224246809042E-3</v>
      </c>
      <c r="I13" s="35">
        <f t="shared" si="1"/>
        <v>28049.529869332226</v>
      </c>
      <c r="J13" s="21">
        <f t="shared" si="2"/>
        <v>9.703206905286986E-2</v>
      </c>
      <c r="K13" s="21">
        <f t="shared" si="3"/>
        <v>167.47993870709479</v>
      </c>
    </row>
    <row r="14" spans="1:11" x14ac:dyDescent="0.2">
      <c r="A14" s="34" t="s">
        <v>138</v>
      </c>
      <c r="B14" s="21">
        <v>10</v>
      </c>
      <c r="C14" s="20">
        <v>1873.9766666666665</v>
      </c>
      <c r="D14" s="35">
        <f t="shared" si="4"/>
        <v>1873.9766666666665</v>
      </c>
      <c r="E14" s="21">
        <f t="shared" si="5"/>
        <v>19.529938707095045</v>
      </c>
      <c r="F14" s="21">
        <f t="shared" si="6"/>
        <v>1906.3950194756233</v>
      </c>
      <c r="G14" s="21">
        <f t="shared" si="7"/>
        <v>1050.9495988459971</v>
      </c>
      <c r="H14" s="21">
        <f t="shared" si="0"/>
        <v>9.4374101458102216E-4</v>
      </c>
      <c r="I14" s="35">
        <f t="shared" si="1"/>
        <v>2821.3342302005835</v>
      </c>
      <c r="J14" s="21">
        <f t="shared" si="2"/>
        <v>3.0720368073657942E-2</v>
      </c>
      <c r="K14" s="21">
        <f t="shared" si="3"/>
        <v>53.116233207942969</v>
      </c>
    </row>
    <row r="15" spans="1:11" x14ac:dyDescent="0.2">
      <c r="A15" s="34" t="s">
        <v>139</v>
      </c>
      <c r="B15" s="21">
        <v>11</v>
      </c>
      <c r="C15" s="20">
        <v>1726.0266666666666</v>
      </c>
      <c r="D15" s="35">
        <f t="shared" si="4"/>
        <v>1726.0266666666666</v>
      </c>
      <c r="E15" s="21">
        <f t="shared" si="5"/>
        <v>-50.119566541276399</v>
      </c>
      <c r="F15" s="35">
        <f>D14+E14</f>
        <v>1893.5066053737614</v>
      </c>
      <c r="G15" s="21">
        <f t="shared" si="7"/>
        <v>28049.529869332226</v>
      </c>
      <c r="H15" s="21">
        <f t="shared" si="0"/>
        <v>9.8418552541059308E-3</v>
      </c>
      <c r="I15" s="35">
        <f t="shared" si="1"/>
        <v>35093.86700797065</v>
      </c>
      <c r="J15" s="21">
        <f t="shared" si="2"/>
        <v>9.9206125083615329E-2</v>
      </c>
      <c r="K15" s="21">
        <f t="shared" si="3"/>
        <v>187.33357149205972</v>
      </c>
    </row>
    <row r="16" spans="1:11" x14ac:dyDescent="0.2">
      <c r="A16" s="34" t="s">
        <v>140</v>
      </c>
      <c r="B16" s="21">
        <v>12</v>
      </c>
      <c r="C16" s="20">
        <v>1729.0233333333333</v>
      </c>
      <c r="D16" s="35">
        <f t="shared" si="4"/>
        <v>1729.0233333333333</v>
      </c>
      <c r="E16" s="21">
        <f t="shared" si="5"/>
        <v>-28.030238158726469</v>
      </c>
      <c r="F16" s="35">
        <f>D15+E15</f>
        <v>1675.9071001253903</v>
      </c>
      <c r="G16" s="21">
        <f t="shared" si="7"/>
        <v>2821.3342302005835</v>
      </c>
      <c r="H16" s="21">
        <f t="shared" si="0"/>
        <v>4.1015150516631268E-4</v>
      </c>
      <c r="I16" s="35">
        <f t="shared" si="1"/>
        <v>1605.1439131999621</v>
      </c>
      <c r="J16" s="21">
        <f t="shared" si="2"/>
        <v>2.0252197539188499E-2</v>
      </c>
      <c r="K16" s="21">
        <f t="shared" si="3"/>
        <v>40.064247318525304</v>
      </c>
    </row>
    <row r="17" spans="1:11" x14ac:dyDescent="0.2">
      <c r="A17" s="34" t="s">
        <v>141</v>
      </c>
      <c r="B17" s="21">
        <v>13</v>
      </c>
      <c r="C17" s="20">
        <v>1888.3266666666666</v>
      </c>
      <c r="D17" s="35">
        <f t="shared" si="4"/>
        <v>1888.3266666666666</v>
      </c>
      <c r="E17" s="21">
        <f t="shared" si="5"/>
        <v>49.875752681474687</v>
      </c>
      <c r="F17" s="21">
        <f t="shared" si="6"/>
        <v>1700.9930951746069</v>
      </c>
      <c r="G17" s="21">
        <f t="shared" si="7"/>
        <v>35093.86700797065</v>
      </c>
      <c r="H17" s="21">
        <f t="shared" si="0"/>
        <v>3.6332899038365404E-3</v>
      </c>
      <c r="I17" s="35">
        <f t="shared" si="1"/>
        <v>13513.407104779046</v>
      </c>
      <c r="J17" s="21">
        <f t="shared" si="2"/>
        <v>6.0276777483841491E-2</v>
      </c>
      <c r="K17" s="21">
        <f t="shared" si="3"/>
        <v>116.24718106164573</v>
      </c>
    </row>
    <row r="18" spans="1:11" x14ac:dyDescent="0.2">
      <c r="A18" s="34" t="s">
        <v>138</v>
      </c>
      <c r="B18" s="21">
        <v>14</v>
      </c>
      <c r="C18" s="20">
        <v>1978.2666666666667</v>
      </c>
      <c r="D18" s="35">
        <f t="shared" si="4"/>
        <v>1978.2666666666667</v>
      </c>
      <c r="E18" s="21">
        <f t="shared" si="5"/>
        <v>66.537181061645654</v>
      </c>
      <c r="F18" s="35">
        <f>D17+E17</f>
        <v>1938.2024193481413</v>
      </c>
      <c r="G18" s="20">
        <f>(C18-F18)^2</f>
        <v>1605.1439131999621</v>
      </c>
      <c r="H18" s="21">
        <f t="shared" si="0"/>
        <v>2.1198571512194306E-4</v>
      </c>
      <c r="I18" s="35">
        <f t="shared" si="1"/>
        <v>827.3066722764828</v>
      </c>
      <c r="J18" s="21">
        <f t="shared" si="2"/>
        <v>1.4559729225570889E-2</v>
      </c>
      <c r="K18" s="21">
        <f t="shared" si="3"/>
        <v>28.762939214838298</v>
      </c>
    </row>
    <row r="19" spans="1:11" x14ac:dyDescent="0.2">
      <c r="A19" s="34" t="s">
        <v>139</v>
      </c>
      <c r="B19" s="21">
        <v>15</v>
      </c>
      <c r="C19" s="20">
        <v>1928.5566666666666</v>
      </c>
      <c r="D19" s="35">
        <f t="shared" si="4"/>
        <v>1928.5566666666666</v>
      </c>
      <c r="E19" s="21">
        <f t="shared" si="5"/>
        <v>18.193727451828398</v>
      </c>
      <c r="F19" s="35">
        <f>D18+E18</f>
        <v>2044.8038477283123</v>
      </c>
      <c r="G19" s="20">
        <f t="shared" ref="G19:G22" si="8">(C19-F19)^2</f>
        <v>13513.407104779046</v>
      </c>
      <c r="H19" s="21">
        <f t="shared" si="0"/>
        <v>1.0177776367069555E-3</v>
      </c>
      <c r="I19" s="35">
        <f t="shared" si="1"/>
        <v>4368.5085404503625</v>
      </c>
      <c r="J19" s="21">
        <f t="shared" si="2"/>
        <v>3.1902627426388497E-2</v>
      </c>
      <c r="K19" s="21">
        <f t="shared" si="3"/>
        <v>66.094693738986052</v>
      </c>
    </row>
    <row r="20" spans="1:11" x14ac:dyDescent="0.2">
      <c r="A20" s="34" t="s">
        <v>140</v>
      </c>
      <c r="B20" s="21">
        <v>16</v>
      </c>
      <c r="C20" s="20">
        <v>1975.5133333333333</v>
      </c>
      <c r="D20" s="35">
        <f t="shared" si="4"/>
        <v>1975.5133333333333</v>
      </c>
      <c r="E20" s="21">
        <f t="shared" si="5"/>
        <v>30.155306261013884</v>
      </c>
      <c r="F20" s="35">
        <f>D19+E19</f>
        <v>1946.750394118495</v>
      </c>
      <c r="G20" s="20">
        <f t="shared" si="8"/>
        <v>827.3066722764828</v>
      </c>
      <c r="H20" s="21">
        <f t="shared" si="0"/>
        <v>7.8450296918899098E-3</v>
      </c>
      <c r="I20" s="35">
        <f t="shared" si="1"/>
        <v>42821.973725205673</v>
      </c>
      <c r="J20" s="21">
        <f t="shared" si="2"/>
        <v>8.8572172220680631E-2</v>
      </c>
      <c r="K20" s="21">
        <f t="shared" si="3"/>
        <v>206.93470884606495</v>
      </c>
    </row>
    <row r="21" spans="1:11" x14ac:dyDescent="0.2">
      <c r="A21" s="34" t="s">
        <v>141</v>
      </c>
      <c r="B21" s="21">
        <v>17</v>
      </c>
      <c r="C21" s="20">
        <v>2071.7633333333333</v>
      </c>
      <c r="D21" s="35">
        <f t="shared" si="4"/>
        <v>2071.7633333333333</v>
      </c>
      <c r="E21" s="21">
        <f t="shared" si="5"/>
        <v>57.641957820601554</v>
      </c>
      <c r="F21" s="35">
        <f>D20+E20</f>
        <v>2005.6686395943473</v>
      </c>
      <c r="G21" s="20">
        <f t="shared" si="8"/>
        <v>4368.5085404503625</v>
      </c>
      <c r="H21" s="21">
        <f t="shared" si="0"/>
        <v>2.6821492850458858E-8</v>
      </c>
      <c r="I21" s="35">
        <f t="shared" si="1"/>
        <v>0.16491413387846551</v>
      </c>
      <c r="J21" s="21">
        <f t="shared" si="2"/>
        <v>1.6377268652146749E-4</v>
      </c>
      <c r="K21" s="21">
        <f t="shared" si="3"/>
        <v>0.40609621258818152</v>
      </c>
    </row>
    <row r="22" spans="1:11" x14ac:dyDescent="0.2">
      <c r="A22" s="34" t="s">
        <v>138</v>
      </c>
      <c r="B22" s="21">
        <v>18</v>
      </c>
      <c r="C22" s="20">
        <v>2336.3399999999997</v>
      </c>
      <c r="D22" s="35">
        <f t="shared" si="4"/>
        <v>2336.3399999999997</v>
      </c>
      <c r="E22" s="21">
        <f t="shared" si="5"/>
        <v>143.69942954592193</v>
      </c>
      <c r="F22" s="35">
        <f t="shared" ref="F22" si="9">D21+E21</f>
        <v>2129.4052911539347</v>
      </c>
      <c r="G22" s="20">
        <f t="shared" si="8"/>
        <v>42821.973725205673</v>
      </c>
      <c r="H22" s="21">
        <f t="shared" si="0"/>
        <v>2.2458735176081551E-4</v>
      </c>
      <c r="I22" s="35">
        <f t="shared" si="1"/>
        <v>1592.7644205774773</v>
      </c>
      <c r="J22" s="21">
        <f t="shared" si="2"/>
        <v>1.4986238746290395E-2</v>
      </c>
      <c r="K22" s="21">
        <f t="shared" si="3"/>
        <v>39.909452772212717</v>
      </c>
    </row>
    <row r="23" spans="1:11" x14ac:dyDescent="0.2">
      <c r="A23" s="34" t="s">
        <v>139</v>
      </c>
      <c r="B23" s="21">
        <v>19</v>
      </c>
      <c r="C23" s="20">
        <v>2479.6333333333337</v>
      </c>
      <c r="D23" s="35">
        <f t="shared" si="4"/>
        <v>2479.6333333333337</v>
      </c>
      <c r="E23" s="21">
        <f t="shared" si="5"/>
        <v>143.53054722778677</v>
      </c>
      <c r="F23" s="35">
        <f>D22+E22</f>
        <v>2480.0394295459218</v>
      </c>
      <c r="G23" s="20">
        <f>(C23-F23)^2</f>
        <v>0.16491413387846551</v>
      </c>
      <c r="H23" s="21">
        <f>SUM(H5:H22)</f>
        <v>5.5758060660136513E-2</v>
      </c>
      <c r="I23" s="21">
        <f t="shared" ref="I23:K23" si="10">SUM(I5:I22)</f>
        <v>206745.86559941393</v>
      </c>
      <c r="J23" s="21">
        <f t="shared" si="10"/>
        <v>0.7741867066729603</v>
      </c>
      <c r="K23" s="21">
        <f t="shared" si="10"/>
        <v>1492.1130090526485</v>
      </c>
    </row>
    <row r="24" spans="1:11" x14ac:dyDescent="0.2">
      <c r="A24" s="34" t="s">
        <v>140</v>
      </c>
      <c r="B24" s="21">
        <v>20</v>
      </c>
      <c r="C24" s="20">
        <v>2663.0733333333333</v>
      </c>
      <c r="D24" s="35">
        <f t="shared" si="4"/>
        <v>2663.0733333333333</v>
      </c>
      <c r="E24" s="21">
        <f t="shared" si="5"/>
        <v>160.12760154829994</v>
      </c>
      <c r="F24" s="35">
        <f>D23+E23</f>
        <v>2623.1638805611205</v>
      </c>
      <c r="G24" s="20">
        <f>(C24-F24)^2</f>
        <v>1592.7644205774773</v>
      </c>
      <c r="H24" s="42">
        <f>SQRT(H23/18)</f>
        <v>5.5656716006913763E-2</v>
      </c>
      <c r="I24" s="54">
        <f>SQRT(I23/18)</f>
        <v>107.17220452239313</v>
      </c>
      <c r="J24" s="42">
        <f>J23/18</f>
        <v>4.3010372592942242E-2</v>
      </c>
      <c r="K24" s="42">
        <f>K23/18</f>
        <v>82.895167169591588</v>
      </c>
    </row>
    <row r="25" spans="1:11" x14ac:dyDescent="0.2">
      <c r="A25" s="11" t="s">
        <v>141</v>
      </c>
      <c r="B25" s="21">
        <v>21</v>
      </c>
      <c r="F25" s="36">
        <f>D24+E24</f>
        <v>2823.2009348816332</v>
      </c>
      <c r="G25" s="20">
        <f>SUM(G7:G24)</f>
        <v>206745.86559941393</v>
      </c>
    </row>
    <row r="26" spans="1:11" x14ac:dyDescent="0.2">
      <c r="A26" s="11" t="s">
        <v>138</v>
      </c>
      <c r="B26" s="21">
        <v>22</v>
      </c>
      <c r="F26" s="36">
        <f>D24+E24*2</f>
        <v>2983.3285364299331</v>
      </c>
    </row>
    <row r="27" spans="1:11" x14ac:dyDescent="0.2">
      <c r="A27" s="11" t="s">
        <v>139</v>
      </c>
      <c r="B27" s="21">
        <v>23</v>
      </c>
      <c r="F27" s="36">
        <f>D24+E24*3</f>
        <v>3143.4561379782331</v>
      </c>
    </row>
    <row r="29" spans="1:11" x14ac:dyDescent="0.2">
      <c r="C29" s="21" t="s">
        <v>121</v>
      </c>
      <c r="E29" s="21" t="s">
        <v>146</v>
      </c>
      <c r="F29" s="21">
        <f>SQRT(G25/18)</f>
        <v>107.17220452239313</v>
      </c>
    </row>
    <row r="30" spans="1:11" ht="16" customHeight="1" x14ac:dyDescent="0.2">
      <c r="A30" s="64" t="s">
        <v>149</v>
      </c>
      <c r="B30" s="39">
        <v>21</v>
      </c>
      <c r="C30" s="38">
        <f>F29/2790.27</f>
        <v>3.84092595062102E-2</v>
      </c>
      <c r="E30" s="21" t="s">
        <v>147</v>
      </c>
      <c r="F30" s="37">
        <v>1</v>
      </c>
    </row>
    <row r="31" spans="1:11" x14ac:dyDescent="0.2">
      <c r="A31" s="64"/>
      <c r="B31" s="39">
        <v>22</v>
      </c>
      <c r="C31" s="38">
        <f>F29/2917.47</f>
        <v>3.6734638067364239E-2</v>
      </c>
      <c r="E31" s="21" t="s">
        <v>148</v>
      </c>
      <c r="F31" s="21">
        <v>0.415867749809613</v>
      </c>
    </row>
    <row r="32" spans="1:11" x14ac:dyDescent="0.2">
      <c r="A32" s="64"/>
      <c r="B32" s="39">
        <v>23</v>
      </c>
      <c r="C32" s="38">
        <f>F29/3044.67</f>
        <v>3.5199941051868716E-2</v>
      </c>
    </row>
    <row r="33" spans="3:6" x14ac:dyDescent="0.2">
      <c r="C33" s="40">
        <f>(C30+C31+C32)/3</f>
        <v>3.6781279541814385E-2</v>
      </c>
    </row>
    <row r="34" spans="3:6" x14ac:dyDescent="0.2">
      <c r="E34" s="21" t="s">
        <v>242</v>
      </c>
      <c r="F34" s="21">
        <f>STDEV(C5:C24)</f>
        <v>267.27150161673148</v>
      </c>
    </row>
    <row r="35" spans="3:6" x14ac:dyDescent="0.2">
      <c r="E35" s="21" t="s">
        <v>243</v>
      </c>
      <c r="F35" s="20">
        <f>AVERAGE(C5:C24)</f>
        <v>1940.1708333333331</v>
      </c>
    </row>
    <row r="36" spans="3:6" x14ac:dyDescent="0.2">
      <c r="E36" s="21" t="s">
        <v>252</v>
      </c>
      <c r="F36" s="29">
        <f>F34/F35</f>
        <v>0.13775668463046759</v>
      </c>
    </row>
    <row r="40" spans="3:6" x14ac:dyDescent="0.2">
      <c r="E40" s="5"/>
    </row>
    <row r="41" spans="3:6" x14ac:dyDescent="0.2">
      <c r="E41" s="5"/>
    </row>
    <row r="42" spans="3:6" x14ac:dyDescent="0.2">
      <c r="E42" s="5"/>
    </row>
    <row r="43" spans="3:6" x14ac:dyDescent="0.2">
      <c r="E43" s="5"/>
    </row>
    <row r="44" spans="3:6" x14ac:dyDescent="0.2">
      <c r="E44" s="5"/>
    </row>
    <row r="45" spans="3:6" x14ac:dyDescent="0.2">
      <c r="E45" s="5"/>
    </row>
    <row r="46" spans="3:6" x14ac:dyDescent="0.2">
      <c r="E46" s="5"/>
    </row>
    <row r="47" spans="3:6" x14ac:dyDescent="0.2">
      <c r="E47" s="5"/>
    </row>
    <row r="48" spans="3:6" x14ac:dyDescent="0.2">
      <c r="E48" s="5"/>
    </row>
    <row r="49" spans="5:5" x14ac:dyDescent="0.2">
      <c r="E49" s="5"/>
    </row>
  </sheetData>
  <mergeCells count="1">
    <mergeCell ref="A30:A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28C6-F647-134C-980D-4B3FA36BDD2B}">
  <dimension ref="A1:I7"/>
  <sheetViews>
    <sheetView workbookViewId="0">
      <selection activeCell="D11" sqref="D11"/>
    </sheetView>
  </sheetViews>
  <sheetFormatPr baseColWidth="10" defaultRowHeight="16" x14ac:dyDescent="0.2"/>
  <sheetData>
    <row r="1" spans="1:9" x14ac:dyDescent="0.2">
      <c r="A1" s="65" t="s">
        <v>254</v>
      </c>
      <c r="B1" s="65"/>
      <c r="C1" s="65"/>
      <c r="D1" s="65"/>
      <c r="F1" s="65" t="s">
        <v>255</v>
      </c>
      <c r="G1" s="65"/>
      <c r="H1" s="65"/>
      <c r="I1" s="65"/>
    </row>
    <row r="2" spans="1:9" x14ac:dyDescent="0.2">
      <c r="A2" s="66" t="s">
        <v>256</v>
      </c>
      <c r="B2" s="66" t="s">
        <v>257</v>
      </c>
      <c r="C2" s="66" t="s">
        <v>258</v>
      </c>
      <c r="D2" s="66" t="s">
        <v>259</v>
      </c>
      <c r="E2" s="12"/>
      <c r="F2" s="67" t="s">
        <v>260</v>
      </c>
      <c r="G2" s="66" t="s">
        <v>257</v>
      </c>
      <c r="H2" s="66" t="s">
        <v>264</v>
      </c>
      <c r="I2" s="66" t="s">
        <v>258</v>
      </c>
    </row>
    <row r="3" spans="1:9" x14ac:dyDescent="0.2">
      <c r="A3" s="66"/>
      <c r="B3" s="66"/>
      <c r="C3" s="66"/>
      <c r="D3" s="66"/>
      <c r="E3" s="12"/>
      <c r="F3" s="67"/>
      <c r="G3" s="66"/>
      <c r="H3" s="66"/>
      <c r="I3" s="66"/>
    </row>
    <row r="4" spans="1:9" x14ac:dyDescent="0.2">
      <c r="A4" s="21" t="s">
        <v>261</v>
      </c>
      <c r="B4" s="21">
        <v>2309</v>
      </c>
      <c r="C4" s="21">
        <v>2823.2009348816332</v>
      </c>
      <c r="D4" s="21">
        <v>2072.9126388036298</v>
      </c>
      <c r="F4" s="21" t="s">
        <v>247</v>
      </c>
      <c r="G4" s="35">
        <v>134567.85489510497</v>
      </c>
      <c r="H4">
        <v>1083.9887962962976</v>
      </c>
      <c r="I4">
        <v>82.895167169591588</v>
      </c>
    </row>
    <row r="5" spans="1:9" x14ac:dyDescent="0.2">
      <c r="A5" s="21" t="s">
        <v>262</v>
      </c>
      <c r="B5" s="21">
        <v>2344</v>
      </c>
      <c r="C5" s="21">
        <v>2983.3285364299331</v>
      </c>
      <c r="D5" s="21">
        <v>2093.4186109405923</v>
      </c>
      <c r="F5" s="21" t="s">
        <v>246</v>
      </c>
      <c r="G5" s="27">
        <v>1.3098664342359834</v>
      </c>
      <c r="H5" s="60">
        <v>0.48531740577784466</v>
      </c>
      <c r="I5" s="60">
        <v>4.3010372592942242E-2</v>
      </c>
    </row>
    <row r="6" spans="1:9" x14ac:dyDescent="0.2">
      <c r="A6" s="21" t="s">
        <v>263</v>
      </c>
      <c r="B6" s="21">
        <v>2379</v>
      </c>
      <c r="C6" s="21">
        <v>3143.4561379782331</v>
      </c>
      <c r="D6" s="21">
        <v>2113.9245830775553</v>
      </c>
      <c r="F6" s="21" t="s">
        <v>245</v>
      </c>
      <c r="G6" s="21">
        <v>537741.25029893941</v>
      </c>
      <c r="H6">
        <v>316297.87195985118</v>
      </c>
      <c r="I6">
        <v>107.17220452239313</v>
      </c>
    </row>
    <row r="7" spans="1:9" x14ac:dyDescent="0.2">
      <c r="A7" s="21"/>
      <c r="B7" s="21"/>
      <c r="C7" s="21"/>
      <c r="D7" s="21"/>
      <c r="F7" s="21" t="s">
        <v>244</v>
      </c>
      <c r="G7" s="27">
        <v>0.12656783065927688</v>
      </c>
      <c r="H7" s="60">
        <v>5.4700110501595872E-2</v>
      </c>
      <c r="I7" s="60">
        <v>5.5656716006913763E-2</v>
      </c>
    </row>
  </sheetData>
  <mergeCells count="10">
    <mergeCell ref="A1:D1"/>
    <mergeCell ref="F1:I1"/>
    <mergeCell ref="A2:A3"/>
    <mergeCell ref="B2:B3"/>
    <mergeCell ref="C2:C3"/>
    <mergeCell ref="D2:D3"/>
    <mergeCell ref="F2:F3"/>
    <mergeCell ref="G2:G3"/>
    <mergeCell ref="H2:H3"/>
    <mergeCell ref="I2:I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7BA1-D3DB-7E4B-A289-929C03DFCBCE}">
  <dimension ref="A1:D53"/>
  <sheetViews>
    <sheetView zoomScale="89" workbookViewId="0">
      <selection activeCell="E21" sqref="E21"/>
    </sheetView>
  </sheetViews>
  <sheetFormatPr baseColWidth="10" defaultRowHeight="16" x14ac:dyDescent="0.2"/>
  <cols>
    <col min="2" max="2" width="18.83203125" customWidth="1"/>
    <col min="3" max="3" width="15.5" customWidth="1"/>
  </cols>
  <sheetData>
    <row r="1" spans="1:4" x14ac:dyDescent="0.2">
      <c r="A1" s="42" t="s">
        <v>184</v>
      </c>
      <c r="B1" s="42" t="s">
        <v>185</v>
      </c>
      <c r="C1" s="42" t="s">
        <v>187</v>
      </c>
      <c r="D1" s="42" t="s">
        <v>136</v>
      </c>
    </row>
    <row r="2" spans="1:4" x14ac:dyDescent="0.2">
      <c r="A2" s="47">
        <v>44652</v>
      </c>
      <c r="B2" s="21">
        <v>593.51499999999999</v>
      </c>
      <c r="C2" s="21">
        <f>AVERAGE(B2:B4)</f>
        <v>664.48400000000004</v>
      </c>
      <c r="D2" s="21" t="s">
        <v>138</v>
      </c>
    </row>
    <row r="3" spans="1:4" x14ac:dyDescent="0.2">
      <c r="A3" s="47">
        <v>44682</v>
      </c>
      <c r="B3" s="21">
        <v>681.27499999999998</v>
      </c>
      <c r="C3" s="21">
        <f>AVERAGE(B5:B7)</f>
        <v>746.29399999999998</v>
      </c>
      <c r="D3" s="21" t="s">
        <v>139</v>
      </c>
    </row>
    <row r="4" spans="1:4" x14ac:dyDescent="0.2">
      <c r="A4" s="47">
        <v>44713</v>
      </c>
      <c r="B4" s="21">
        <v>718.66200000000003</v>
      </c>
      <c r="C4" s="21">
        <f>AVERAGE(B8:B10)</f>
        <v>654.52133333333336</v>
      </c>
      <c r="D4" s="21" t="s">
        <v>140</v>
      </c>
    </row>
    <row r="5" spans="1:4" x14ac:dyDescent="0.2">
      <c r="A5" s="47">
        <v>44743</v>
      </c>
      <c r="B5" s="21">
        <v>744.91300000000001</v>
      </c>
      <c r="C5" s="21">
        <f>AVERAGE(B11:B13)</f>
        <v>629.98166666666668</v>
      </c>
      <c r="D5" s="21" t="s">
        <v>137</v>
      </c>
    </row>
    <row r="6" spans="1:4" x14ac:dyDescent="0.2">
      <c r="A6" s="47">
        <v>44774</v>
      </c>
      <c r="B6" s="21">
        <v>777.26700000000005</v>
      </c>
      <c r="C6" s="21">
        <f>AVERAGE(B14:B16)</f>
        <v>827.12733333333335</v>
      </c>
      <c r="D6" s="21" t="s">
        <v>138</v>
      </c>
    </row>
    <row r="7" spans="1:4" x14ac:dyDescent="0.2">
      <c r="A7" s="47">
        <v>44805</v>
      </c>
      <c r="B7" s="21">
        <v>716.702</v>
      </c>
      <c r="C7" s="21">
        <f>AVERAGE(B17:B19)</f>
        <v>905.50333333333322</v>
      </c>
      <c r="D7" s="21" t="s">
        <v>139</v>
      </c>
    </row>
    <row r="8" spans="1:4" x14ac:dyDescent="0.2">
      <c r="A8" s="47">
        <v>44835</v>
      </c>
      <c r="B8" s="21">
        <v>745.13300000000004</v>
      </c>
      <c r="C8" s="21">
        <f>AVERAGE(B20:B22)</f>
        <v>778.82466666666653</v>
      </c>
      <c r="D8" s="21" t="s">
        <v>140</v>
      </c>
    </row>
    <row r="9" spans="1:4" x14ac:dyDescent="0.2">
      <c r="A9" s="47">
        <v>44866</v>
      </c>
      <c r="B9" s="21">
        <v>596.16200000000003</v>
      </c>
      <c r="C9" s="21">
        <f>AVERAGE(B23:B25)</f>
        <v>722.48233333333337</v>
      </c>
      <c r="D9" s="21" t="s">
        <v>137</v>
      </c>
    </row>
    <row r="10" spans="1:4" x14ac:dyDescent="0.2">
      <c r="A10" s="47">
        <v>44896</v>
      </c>
      <c r="B10" s="21">
        <v>622.26900000000001</v>
      </c>
      <c r="C10" s="21">
        <f>AVERAGE(B26:B28)</f>
        <v>977.76866666666672</v>
      </c>
      <c r="D10" s="21" t="s">
        <v>138</v>
      </c>
    </row>
    <row r="11" spans="1:4" x14ac:dyDescent="0.2">
      <c r="A11" s="47">
        <v>44927</v>
      </c>
      <c r="B11" s="21">
        <v>611.61300000000006</v>
      </c>
      <c r="C11" s="21">
        <f>AVERAGE(B29:B31)</f>
        <v>1072.7666666666667</v>
      </c>
      <c r="D11" s="21" t="s">
        <v>139</v>
      </c>
    </row>
    <row r="12" spans="1:4" x14ac:dyDescent="0.2">
      <c r="A12" s="47">
        <v>44958</v>
      </c>
      <c r="B12" s="21">
        <v>591.02099999999996</v>
      </c>
      <c r="C12" s="21">
        <f>AVERAGE(B32:B34)</f>
        <v>920.73166666666668</v>
      </c>
      <c r="D12" s="21" t="s">
        <v>140</v>
      </c>
    </row>
    <row r="13" spans="1:4" x14ac:dyDescent="0.2">
      <c r="A13" s="47">
        <v>44986</v>
      </c>
      <c r="B13" s="21">
        <v>687.31100000000004</v>
      </c>
      <c r="C13" s="21">
        <f>AVERAGE(B35:B37)</f>
        <v>880.55666666666673</v>
      </c>
      <c r="D13" s="21" t="s">
        <v>137</v>
      </c>
    </row>
    <row r="14" spans="1:4" x14ac:dyDescent="0.2">
      <c r="A14" s="47">
        <v>45017</v>
      </c>
      <c r="B14" s="21">
        <v>774.654</v>
      </c>
    </row>
    <row r="15" spans="1:4" x14ac:dyDescent="0.2">
      <c r="A15" s="47">
        <v>45047</v>
      </c>
      <c r="B15" s="21">
        <v>839.32500000000005</v>
      </c>
    </row>
    <row r="16" spans="1:4" x14ac:dyDescent="0.2">
      <c r="A16" s="47">
        <v>45078</v>
      </c>
      <c r="B16" s="21">
        <v>867.40300000000002</v>
      </c>
    </row>
    <row r="17" spans="1:2" x14ac:dyDescent="0.2">
      <c r="A17" s="47">
        <v>45108</v>
      </c>
      <c r="B17" s="21">
        <v>918.899</v>
      </c>
    </row>
    <row r="18" spans="1:2" x14ac:dyDescent="0.2">
      <c r="A18" s="47">
        <v>45139</v>
      </c>
      <c r="B18" s="21">
        <v>913.23</v>
      </c>
    </row>
    <row r="19" spans="1:2" x14ac:dyDescent="0.2">
      <c r="A19" s="47">
        <v>45170</v>
      </c>
      <c r="B19" s="21">
        <v>884.38099999999997</v>
      </c>
    </row>
    <row r="20" spans="1:2" x14ac:dyDescent="0.2">
      <c r="A20" s="47">
        <v>45200</v>
      </c>
      <c r="B20" s="21">
        <v>868.81</v>
      </c>
    </row>
    <row r="21" spans="1:2" x14ac:dyDescent="0.2">
      <c r="A21" s="47">
        <v>45231</v>
      </c>
      <c r="B21" s="21">
        <v>713.50599999999997</v>
      </c>
    </row>
    <row r="22" spans="1:2" x14ac:dyDescent="0.2">
      <c r="A22" s="47">
        <v>45261</v>
      </c>
      <c r="B22" s="21">
        <v>754.15800000000002</v>
      </c>
    </row>
    <row r="23" spans="1:2" x14ac:dyDescent="0.2">
      <c r="A23" s="47">
        <v>45292</v>
      </c>
      <c r="B23" s="21">
        <v>691.88099999999997</v>
      </c>
    </row>
    <row r="24" spans="1:2" x14ac:dyDescent="0.2">
      <c r="A24" s="47">
        <v>45323</v>
      </c>
      <c r="B24" s="21">
        <v>685.13900000000001</v>
      </c>
    </row>
    <row r="25" spans="1:2" x14ac:dyDescent="0.2">
      <c r="A25" s="47">
        <v>45352</v>
      </c>
      <c r="B25" s="21">
        <v>790.42700000000002</v>
      </c>
    </row>
    <row r="26" spans="1:2" x14ac:dyDescent="0.2">
      <c r="A26" s="47">
        <v>45383</v>
      </c>
      <c r="B26" s="21">
        <v>925.82</v>
      </c>
    </row>
    <row r="27" spans="1:2" x14ac:dyDescent="0.2">
      <c r="A27" s="47">
        <v>45413</v>
      </c>
      <c r="B27" s="21">
        <v>1006.407</v>
      </c>
    </row>
    <row r="28" spans="1:2" x14ac:dyDescent="0.2">
      <c r="A28" s="47">
        <v>45444</v>
      </c>
      <c r="B28" s="21">
        <v>1001.079</v>
      </c>
    </row>
    <row r="29" spans="1:2" x14ac:dyDescent="0.2">
      <c r="A29" s="47">
        <v>45474</v>
      </c>
      <c r="B29" s="21">
        <v>1071.5060000000001</v>
      </c>
    </row>
    <row r="30" spans="1:2" x14ac:dyDescent="0.2">
      <c r="A30" s="47">
        <v>45505</v>
      </c>
      <c r="B30" s="21">
        <v>1105.9449999999999</v>
      </c>
    </row>
    <row r="31" spans="1:2" x14ac:dyDescent="0.2">
      <c r="A31" s="47">
        <v>45536</v>
      </c>
      <c r="B31" s="21">
        <v>1040.8489999999999</v>
      </c>
    </row>
    <row r="32" spans="1:2" x14ac:dyDescent="0.2">
      <c r="A32" s="47">
        <v>45566</v>
      </c>
      <c r="B32" s="21">
        <v>1029.4760000000001</v>
      </c>
    </row>
    <row r="33" spans="1:4" x14ac:dyDescent="0.2">
      <c r="A33" s="47">
        <v>45597</v>
      </c>
      <c r="B33" s="21">
        <v>853.46600000000001</v>
      </c>
      <c r="C33" s="18"/>
    </row>
    <row r="34" spans="1:4" x14ac:dyDescent="0.2">
      <c r="A34" s="47">
        <v>45627</v>
      </c>
      <c r="B34" s="21">
        <v>879.25300000000004</v>
      </c>
      <c r="C34" s="18"/>
    </row>
    <row r="35" spans="1:4" x14ac:dyDescent="0.2">
      <c r="A35" s="47">
        <v>45658</v>
      </c>
      <c r="B35" s="21">
        <v>796.19500000000005</v>
      </c>
      <c r="C35" s="18"/>
    </row>
    <row r="36" spans="1:4" x14ac:dyDescent="0.2">
      <c r="A36" s="47">
        <v>45689</v>
      </c>
      <c r="B36" s="21">
        <v>857.31</v>
      </c>
      <c r="C36" s="18"/>
      <c r="D36" s="18"/>
    </row>
    <row r="37" spans="1:4" x14ac:dyDescent="0.2">
      <c r="A37" s="47">
        <v>45717</v>
      </c>
      <c r="B37" s="21">
        <v>988.16499999999996</v>
      </c>
      <c r="C37" s="18"/>
      <c r="D37" s="18"/>
    </row>
    <row r="38" spans="1:4" x14ac:dyDescent="0.2">
      <c r="C38" s="18"/>
      <c r="D38" s="18"/>
    </row>
    <row r="39" spans="1:4" x14ac:dyDescent="0.2">
      <c r="C39" s="18"/>
      <c r="D39" s="18"/>
    </row>
    <row r="40" spans="1:4" x14ac:dyDescent="0.2">
      <c r="C40" s="18"/>
      <c r="D40" s="18"/>
    </row>
    <row r="41" spans="1:4" x14ac:dyDescent="0.2">
      <c r="C41" s="18"/>
      <c r="D41" s="18"/>
    </row>
    <row r="42" spans="1:4" x14ac:dyDescent="0.2">
      <c r="C42" s="18"/>
      <c r="D42" s="18"/>
    </row>
    <row r="43" spans="1:4" x14ac:dyDescent="0.2">
      <c r="C43" s="18"/>
      <c r="D43" s="18"/>
    </row>
    <row r="44" spans="1:4" x14ac:dyDescent="0.2">
      <c r="C44" s="18"/>
      <c r="D44" s="18"/>
    </row>
    <row r="45" spans="1:4" x14ac:dyDescent="0.2">
      <c r="C45" s="18"/>
      <c r="D45" s="18"/>
    </row>
    <row r="46" spans="1:4" x14ac:dyDescent="0.2">
      <c r="C46" s="18"/>
      <c r="D46" s="18"/>
    </row>
    <row r="47" spans="1:4" x14ac:dyDescent="0.2">
      <c r="C47" s="18"/>
      <c r="D47" s="18"/>
    </row>
    <row r="48" spans="1:4" x14ac:dyDescent="0.2">
      <c r="C48" s="18"/>
      <c r="D48" s="18"/>
    </row>
    <row r="49" spans="3:4" x14ac:dyDescent="0.2">
      <c r="C49" s="18"/>
      <c r="D49" s="18"/>
    </row>
    <row r="50" spans="3:4" x14ac:dyDescent="0.2">
      <c r="D50" s="18"/>
    </row>
    <row r="51" spans="3:4" x14ac:dyDescent="0.2">
      <c r="D51" s="18"/>
    </row>
    <row r="52" spans="3:4" x14ac:dyDescent="0.2">
      <c r="D52" s="18"/>
    </row>
    <row r="53" spans="3:4" x14ac:dyDescent="0.2">
      <c r="D53" s="1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7FE9-6BD1-5A48-B3AB-62C08F004D51}">
  <dimension ref="A1:N29"/>
  <sheetViews>
    <sheetView workbookViewId="0">
      <selection activeCell="C32" sqref="C32"/>
    </sheetView>
  </sheetViews>
  <sheetFormatPr baseColWidth="10" defaultRowHeight="16" x14ac:dyDescent="0.2"/>
  <cols>
    <col min="1" max="1" width="10.83203125" customWidth="1"/>
    <col min="2" max="2" width="17.1640625" customWidth="1"/>
    <col min="3" max="3" width="11.6640625" bestFit="1" customWidth="1"/>
    <col min="4" max="4" width="13.1640625" customWidth="1"/>
    <col min="5" max="5" width="12.33203125" customWidth="1"/>
    <col min="6" max="6" width="13.33203125" customWidth="1"/>
    <col min="9" max="9" width="21.1640625" customWidth="1"/>
    <col min="13" max="13" width="12.6640625" bestFit="1" customWidth="1"/>
  </cols>
  <sheetData>
    <row r="1" spans="1:14" x14ac:dyDescent="0.2">
      <c r="A1" t="s">
        <v>186</v>
      </c>
    </row>
    <row r="3" spans="1:14" x14ac:dyDescent="0.2">
      <c r="A3" s="42" t="s">
        <v>136</v>
      </c>
      <c r="B3" s="42" t="s">
        <v>189</v>
      </c>
      <c r="C3" s="42" t="s">
        <v>188</v>
      </c>
      <c r="D3" s="42" t="s">
        <v>121</v>
      </c>
      <c r="E3" s="42" t="s">
        <v>190</v>
      </c>
      <c r="F3" s="42" t="s">
        <v>145</v>
      </c>
      <c r="H3" s="26" t="s">
        <v>248</v>
      </c>
      <c r="K3" s="42" t="s">
        <v>247</v>
      </c>
      <c r="L3" s="42" t="s">
        <v>246</v>
      </c>
      <c r="M3" s="42" t="s">
        <v>245</v>
      </c>
      <c r="N3" s="42" t="s">
        <v>244</v>
      </c>
    </row>
    <row r="4" spans="1:14" x14ac:dyDescent="0.2">
      <c r="A4" s="19">
        <v>1</v>
      </c>
      <c r="B4" s="20">
        <v>2</v>
      </c>
      <c r="C4" s="20">
        <v>664.48400000000004</v>
      </c>
      <c r="D4" s="37">
        <f t="shared" ref="D4:D15" si="0">$H$4*A4+$I$4</f>
        <v>657.91807264957276</v>
      </c>
      <c r="E4" s="37">
        <f>C4-D4</f>
        <v>6.5659273504272733</v>
      </c>
      <c r="F4" s="45">
        <f>ABS(C4-D4)/C4</f>
        <v>9.88124221264511E-3</v>
      </c>
      <c r="H4" s="21" cm="1">
        <f t="array" ref="H4:I8">LINEST(C4:C15,A4:A15,1,1)</f>
        <v>28.576143356643364</v>
      </c>
      <c r="I4" s="21">
        <v>629.34192929292942</v>
      </c>
      <c r="K4" s="21">
        <f>ABS(C4-F4)</f>
        <v>664.47411875778744</v>
      </c>
      <c r="L4" s="21">
        <f>ABS((C4-F4)/C4)</f>
        <v>0.999985129450502</v>
      </c>
      <c r="M4" s="45">
        <f>(C4-F4)^2</f>
        <v>441525.85449893819</v>
      </c>
      <c r="N4" s="21">
        <f>((C4-F4)/C4)^2</f>
        <v>0.99997025912213722</v>
      </c>
    </row>
    <row r="5" spans="1:14" x14ac:dyDescent="0.2">
      <c r="A5" s="19">
        <v>2</v>
      </c>
      <c r="B5" s="20">
        <v>3</v>
      </c>
      <c r="C5" s="20">
        <v>746.29399999999998</v>
      </c>
      <c r="D5" s="37">
        <f t="shared" si="0"/>
        <v>686.49421600621611</v>
      </c>
      <c r="E5" s="37">
        <f t="shared" ref="E5:E14" si="1">C5-D5</f>
        <v>59.799783993783876</v>
      </c>
      <c r="F5" s="45">
        <f t="shared" ref="F5:F15" si="2">ABS(C5-D5)/C5</f>
        <v>8.0128989371191353E-2</v>
      </c>
      <c r="H5" s="21">
        <v>8.2448418632404383</v>
      </c>
      <c r="I5" s="21">
        <v>60.680393097357062</v>
      </c>
      <c r="K5" s="21">
        <f t="shared" ref="K5:K15" si="3">ABS(C5-F5)</f>
        <v>746.21387101062874</v>
      </c>
      <c r="L5" s="21">
        <f t="shared" ref="L5:L15" si="4">ABS((C5-F5)/C5)</f>
        <v>0.9998926308005005</v>
      </c>
      <c r="M5" s="45">
        <f t="shared" ref="M5:M15" si="5">(C5-F5)^2</f>
        <v>556835.14128866722</v>
      </c>
      <c r="N5" s="21">
        <f t="shared" ref="N5:N15" si="6">((C5-F5)/C5)^2</f>
        <v>0.999785273129146</v>
      </c>
    </row>
    <row r="6" spans="1:14" x14ac:dyDescent="0.2">
      <c r="A6" s="19">
        <v>3</v>
      </c>
      <c r="B6" s="20">
        <v>4</v>
      </c>
      <c r="C6" s="20">
        <v>654.52133333333336</v>
      </c>
      <c r="D6" s="37">
        <f t="shared" si="0"/>
        <v>715.07035936285956</v>
      </c>
      <c r="E6" s="37">
        <f t="shared" si="1"/>
        <v>-60.549026029526203</v>
      </c>
      <c r="F6" s="45">
        <f t="shared" si="2"/>
        <v>9.2508865557006853E-2</v>
      </c>
      <c r="H6" s="21">
        <v>0.54571789817986394</v>
      </c>
      <c r="I6" s="21">
        <v>98.593968786267112</v>
      </c>
      <c r="K6" s="21">
        <f t="shared" si="3"/>
        <v>654.42882446777639</v>
      </c>
      <c r="L6" s="21">
        <f t="shared" si="4"/>
        <v>0.99985866180238037</v>
      </c>
      <c r="M6" s="45">
        <f t="shared" si="5"/>
        <v>428277.08629427571</v>
      </c>
      <c r="N6" s="21">
        <f t="shared" si="6"/>
        <v>0.99971734358124686</v>
      </c>
    </row>
    <row r="7" spans="1:14" x14ac:dyDescent="0.2">
      <c r="A7" s="19">
        <v>4</v>
      </c>
      <c r="B7" s="20">
        <v>1</v>
      </c>
      <c r="C7" s="20">
        <v>629.98166666666668</v>
      </c>
      <c r="D7" s="37">
        <f t="shared" si="0"/>
        <v>743.64650271950291</v>
      </c>
      <c r="E7" s="37">
        <f t="shared" si="1"/>
        <v>-113.66483605283622</v>
      </c>
      <c r="F7" s="45">
        <f t="shared" si="2"/>
        <v>0.1804256251681973</v>
      </c>
      <c r="H7" s="21">
        <v>12.012753661070493</v>
      </c>
      <c r="I7" s="21">
        <v>10</v>
      </c>
      <c r="K7" s="21">
        <f t="shared" si="3"/>
        <v>629.80124104149854</v>
      </c>
      <c r="L7" s="21">
        <f t="shared" si="4"/>
        <v>0.99971360178444113</v>
      </c>
      <c r="M7" s="45">
        <f t="shared" si="5"/>
        <v>396649.60321741173</v>
      </c>
      <c r="N7" s="21">
        <f t="shared" si="6"/>
        <v>0.99942728559282012</v>
      </c>
    </row>
    <row r="8" spans="1:14" x14ac:dyDescent="0.2">
      <c r="A8" s="19">
        <v>5</v>
      </c>
      <c r="B8" s="20">
        <v>2</v>
      </c>
      <c r="C8" s="20">
        <v>827.12733333333335</v>
      </c>
      <c r="D8" s="37">
        <f t="shared" si="0"/>
        <v>772.22264607614625</v>
      </c>
      <c r="E8" s="37">
        <f t="shared" si="1"/>
        <v>54.904687257187106</v>
      </c>
      <c r="F8" s="45">
        <f t="shared" si="2"/>
        <v>6.6379969618366425E-2</v>
      </c>
      <c r="H8" s="21">
        <v>116773.22358693878</v>
      </c>
      <c r="I8" s="21">
        <v>97207.706810274132</v>
      </c>
      <c r="K8" s="21">
        <f t="shared" si="3"/>
        <v>827.06095336371504</v>
      </c>
      <c r="L8" s="21">
        <f t="shared" si="4"/>
        <v>0.99991974637163683</v>
      </c>
      <c r="M8" s="45">
        <f t="shared" si="5"/>
        <v>684029.82057889726</v>
      </c>
      <c r="N8" s="21">
        <f t="shared" si="6"/>
        <v>0.99983949918391857</v>
      </c>
    </row>
    <row r="9" spans="1:14" x14ac:dyDescent="0.2">
      <c r="A9" s="19">
        <v>6</v>
      </c>
      <c r="B9" s="20">
        <v>3</v>
      </c>
      <c r="C9" s="20">
        <v>905.50333333333322</v>
      </c>
      <c r="D9" s="37">
        <f t="shared" si="0"/>
        <v>800.79878943278959</v>
      </c>
      <c r="E9" s="37">
        <f t="shared" si="1"/>
        <v>104.70454390054363</v>
      </c>
      <c r="F9" s="45">
        <f t="shared" si="2"/>
        <v>0.11563131801525889</v>
      </c>
      <c r="K9" s="21">
        <f t="shared" si="3"/>
        <v>905.38770201531793</v>
      </c>
      <c r="L9" s="21">
        <f t="shared" si="4"/>
        <v>0.99987230160976925</v>
      </c>
      <c r="M9" s="45">
        <f t="shared" si="5"/>
        <v>819726.89096057811</v>
      </c>
      <c r="N9" s="21">
        <f t="shared" si="6"/>
        <v>0.99974461952641736</v>
      </c>
    </row>
    <row r="10" spans="1:14" x14ac:dyDescent="0.2">
      <c r="A10" s="19">
        <v>7</v>
      </c>
      <c r="B10" s="20">
        <v>4</v>
      </c>
      <c r="C10" s="20">
        <v>778.82466666666653</v>
      </c>
      <c r="D10" s="37">
        <f t="shared" si="0"/>
        <v>829.37493278943293</v>
      </c>
      <c r="E10" s="37">
        <f t="shared" si="1"/>
        <v>-50.550266122766402</v>
      </c>
      <c r="F10" s="45">
        <f t="shared" si="2"/>
        <v>6.4905836045382581E-2</v>
      </c>
      <c r="K10" s="21">
        <f t="shared" si="3"/>
        <v>778.75976083062119</v>
      </c>
      <c r="L10" s="21">
        <f t="shared" si="4"/>
        <v>0.99991666181257055</v>
      </c>
      <c r="M10" s="45">
        <f t="shared" si="5"/>
        <v>606466.76508896635</v>
      </c>
      <c r="N10" s="21">
        <f t="shared" si="6"/>
        <v>0.99983333057039459</v>
      </c>
    </row>
    <row r="11" spans="1:14" x14ac:dyDescent="0.2">
      <c r="A11" s="19">
        <v>8</v>
      </c>
      <c r="B11" s="20">
        <v>1</v>
      </c>
      <c r="C11" s="20">
        <v>722.48233333333337</v>
      </c>
      <c r="D11" s="37">
        <f t="shared" si="0"/>
        <v>857.95107614607628</v>
      </c>
      <c r="E11" s="37">
        <f t="shared" si="1"/>
        <v>-135.4687428127429</v>
      </c>
      <c r="F11" s="45">
        <f t="shared" si="2"/>
        <v>0.18750457493919284</v>
      </c>
      <c r="K11" s="21">
        <f t="shared" si="3"/>
        <v>722.29482875839415</v>
      </c>
      <c r="L11" s="21">
        <f t="shared" si="4"/>
        <v>0.99974047175095049</v>
      </c>
      <c r="M11" s="45">
        <f t="shared" si="5"/>
        <v>521709.8196511179</v>
      </c>
      <c r="N11" s="21">
        <f t="shared" si="6"/>
        <v>0.99948101085681307</v>
      </c>
    </row>
    <row r="12" spans="1:14" x14ac:dyDescent="0.2">
      <c r="A12" s="19">
        <v>9</v>
      </c>
      <c r="B12" s="20">
        <v>2</v>
      </c>
      <c r="C12" s="20">
        <v>977.76866666666672</v>
      </c>
      <c r="D12" s="37">
        <f t="shared" si="0"/>
        <v>886.52721950271962</v>
      </c>
      <c r="E12" s="37">
        <f t="shared" si="1"/>
        <v>91.2414471639471</v>
      </c>
      <c r="F12" s="45">
        <f t="shared" si="2"/>
        <v>9.3315985952996824E-2</v>
      </c>
      <c r="G12" t="s">
        <v>64</v>
      </c>
      <c r="H12" s="42" t="s">
        <v>121</v>
      </c>
      <c r="I12" s="42" t="s">
        <v>253</v>
      </c>
      <c r="K12" s="21">
        <f t="shared" si="3"/>
        <v>977.67535068071368</v>
      </c>
      <c r="L12" s="21">
        <f t="shared" si="4"/>
        <v>0.99990456230687863</v>
      </c>
      <c r="M12" s="45">
        <f t="shared" si="5"/>
        <v>955849.09132865642</v>
      </c>
      <c r="N12" s="21">
        <f t="shared" si="6"/>
        <v>0.99980913372211055</v>
      </c>
    </row>
    <row r="13" spans="1:14" x14ac:dyDescent="0.2">
      <c r="A13" s="19">
        <v>10</v>
      </c>
      <c r="B13" s="20">
        <v>3</v>
      </c>
      <c r="C13" s="20">
        <v>1072.7666666666667</v>
      </c>
      <c r="D13" s="37">
        <f t="shared" si="0"/>
        <v>915.10336285936307</v>
      </c>
      <c r="E13" s="37">
        <f>C13-D13</f>
        <v>157.66330380730358</v>
      </c>
      <c r="F13" s="45">
        <f t="shared" si="2"/>
        <v>0.14696886909918613</v>
      </c>
      <c r="G13" s="21">
        <v>13</v>
      </c>
      <c r="H13" s="35">
        <f>$H$4*G13+$I$4+B22</f>
        <v>1051.7358135198137</v>
      </c>
      <c r="I13" s="49">
        <f>$M$16/H13</f>
        <v>0.78523252016582212</v>
      </c>
      <c r="K13" s="21">
        <f t="shared" si="3"/>
        <v>1072.6196977975674</v>
      </c>
      <c r="L13" s="21">
        <f t="shared" si="4"/>
        <v>0.99986300015309393</v>
      </c>
      <c r="M13" s="45">
        <f t="shared" si="5"/>
        <v>1150513.0161033447</v>
      </c>
      <c r="N13" s="21">
        <f t="shared" si="6"/>
        <v>0.99972601907514591</v>
      </c>
    </row>
    <row r="14" spans="1:14" x14ac:dyDescent="0.2">
      <c r="A14" s="19">
        <v>11</v>
      </c>
      <c r="B14" s="20">
        <v>4</v>
      </c>
      <c r="C14" s="20">
        <v>920.73166666666668</v>
      </c>
      <c r="D14" s="37">
        <f t="shared" si="0"/>
        <v>943.67950621600642</v>
      </c>
      <c r="E14" s="37">
        <f t="shared" si="1"/>
        <v>-22.947839549339733</v>
      </c>
      <c r="F14" s="45">
        <f t="shared" si="2"/>
        <v>2.4923482465220304E-2</v>
      </c>
      <c r="G14" s="21">
        <v>14</v>
      </c>
      <c r="H14" s="21">
        <f>$H$4*G14+$I$4+B23</f>
        <v>1136.7971468531468</v>
      </c>
      <c r="I14" s="49">
        <f t="shared" ref="I14:I16" si="7">$M$16/H14</f>
        <v>0.72647716057779654</v>
      </c>
      <c r="K14" s="21">
        <f t="shared" si="3"/>
        <v>920.70674318420151</v>
      </c>
      <c r="L14" s="21">
        <f t="shared" si="4"/>
        <v>0.99997293078606131</v>
      </c>
      <c r="M14" s="45">
        <f t="shared" si="5"/>
        <v>847700.90694485919</v>
      </c>
      <c r="N14" s="21">
        <f t="shared" si="6"/>
        <v>0.99994586230486493</v>
      </c>
    </row>
    <row r="15" spans="1:14" x14ac:dyDescent="0.2">
      <c r="A15" s="19">
        <v>12</v>
      </c>
      <c r="B15" s="20">
        <v>1</v>
      </c>
      <c r="C15" s="20">
        <v>880.55666666666673</v>
      </c>
      <c r="D15" s="37">
        <f t="shared" si="0"/>
        <v>972.25564957264976</v>
      </c>
      <c r="E15" s="37">
        <f>C15-D15</f>
        <v>-91.69898290598303</v>
      </c>
      <c r="F15" s="45">
        <f t="shared" si="2"/>
        <v>0.10413751479857404</v>
      </c>
      <c r="G15" s="21">
        <v>15</v>
      </c>
      <c r="H15" s="21">
        <f>$H$4*G15+$I$4+B24</f>
        <v>1013.3017024087025</v>
      </c>
      <c r="I15" s="49">
        <f t="shared" si="7"/>
        <v>0.81501606228005274</v>
      </c>
      <c r="K15" s="21">
        <f t="shared" si="3"/>
        <v>880.45252915186813</v>
      </c>
      <c r="L15" s="21">
        <f t="shared" si="4"/>
        <v>0.99988173672548208</v>
      </c>
      <c r="M15" s="45">
        <f t="shared" si="5"/>
        <v>775196.65608992125</v>
      </c>
      <c r="N15" s="21">
        <f t="shared" si="6"/>
        <v>0.99976348743716625</v>
      </c>
    </row>
    <row r="16" spans="1:14" x14ac:dyDescent="0.2">
      <c r="A16" s="22"/>
      <c r="B16" s="18"/>
      <c r="F16" s="6">
        <f>SUM(F4:F15)</f>
        <v>1.1667122732432187</v>
      </c>
      <c r="G16" s="21">
        <v>16</v>
      </c>
      <c r="H16" s="21">
        <f>$H$4*G16+$I$4+B25</f>
        <v>1086.560222999223</v>
      </c>
      <c r="I16" s="49">
        <f t="shared" si="7"/>
        <v>0.76006570636205317</v>
      </c>
      <c r="K16" s="42">
        <f>SUM(K4:K15)/12</f>
        <v>814.98963508834083</v>
      </c>
      <c r="L16" s="63">
        <f>SUM(L4:L15)/12</f>
        <v>0.99987678627952237</v>
      </c>
      <c r="M16" s="42">
        <f>SQRT(SUM(M4:M15)/12)</f>
        <v>825.85716339881446</v>
      </c>
      <c r="N16" s="63">
        <f>SQRT(SUM(N4:N15)/12)</f>
        <v>0.99987678924714607</v>
      </c>
    </row>
    <row r="17" spans="1:10" x14ac:dyDescent="0.2">
      <c r="A17" s="22"/>
      <c r="B17" s="18"/>
      <c r="H17" s="21" t="s">
        <v>191</v>
      </c>
    </row>
    <row r="18" spans="1:10" x14ac:dyDescent="0.2">
      <c r="A18" s="22"/>
      <c r="B18" s="18"/>
      <c r="H18" s="49">
        <f>F16/12</f>
        <v>9.7226022770268219E-2</v>
      </c>
    </row>
    <row r="19" spans="1:10" x14ac:dyDescent="0.2">
      <c r="A19" s="22"/>
      <c r="B19" s="18"/>
      <c r="I19" s="42" t="s">
        <v>243</v>
      </c>
      <c r="J19" s="20">
        <f>AVERAGE(C4:C15)</f>
        <v>815.08686111111126</v>
      </c>
    </row>
    <row r="20" spans="1:10" x14ac:dyDescent="0.2">
      <c r="I20" s="42" t="s">
        <v>251</v>
      </c>
      <c r="J20" s="21">
        <f>_xlfn.STDEV.S(C4:C15)</f>
        <v>139.47333743153848</v>
      </c>
    </row>
    <row r="21" spans="1:10" x14ac:dyDescent="0.2">
      <c r="A21" s="42" t="s">
        <v>192</v>
      </c>
      <c r="B21" s="21">
        <f>(E7+E11+E15)/3</f>
        <v>-113.61085392385405</v>
      </c>
      <c r="I21" s="42" t="s">
        <v>252</v>
      </c>
      <c r="J21" s="49">
        <f>J20/J19</f>
        <v>0.17111469229354406</v>
      </c>
    </row>
    <row r="22" spans="1:10" x14ac:dyDescent="0.2">
      <c r="A22" s="42" t="s">
        <v>193</v>
      </c>
      <c r="B22" s="21">
        <f>(E4+E8+E12)/3</f>
        <v>50.904020590520496</v>
      </c>
    </row>
    <row r="23" spans="1:10" x14ac:dyDescent="0.2">
      <c r="A23" s="42" t="s">
        <v>194</v>
      </c>
      <c r="B23" s="21">
        <f>(E5+E9+E13)/3</f>
        <v>107.38921056721036</v>
      </c>
    </row>
    <row r="24" spans="1:10" x14ac:dyDescent="0.2">
      <c r="A24" s="42" t="s">
        <v>195</v>
      </c>
      <c r="B24" s="21">
        <f>(E6+E10+E14)/3</f>
        <v>-44.682377233877446</v>
      </c>
    </row>
    <row r="25" spans="1:10" x14ac:dyDescent="0.2">
      <c r="A25" s="42" t="s">
        <v>196</v>
      </c>
      <c r="B25" s="48">
        <f>AVERAGE(B21:B24)</f>
        <v>-1.6164847238542279E-13</v>
      </c>
    </row>
    <row r="26" spans="1:10" x14ac:dyDescent="0.2">
      <c r="A26" s="42" t="s">
        <v>197</v>
      </c>
      <c r="B26" s="48">
        <f>B21/B25</f>
        <v>702826647522957.38</v>
      </c>
    </row>
    <row r="27" spans="1:10" x14ac:dyDescent="0.2">
      <c r="A27" s="42" t="s">
        <v>198</v>
      </c>
      <c r="B27" s="48">
        <f t="shared" ref="B27:B29" si="8">B22/B26</f>
        <v>7.2427562002560173E-14</v>
      </c>
    </row>
    <row r="28" spans="1:10" x14ac:dyDescent="0.2">
      <c r="A28" s="42" t="s">
        <v>199</v>
      </c>
      <c r="B28" s="48">
        <f t="shared" si="8"/>
        <v>1482711934489999.2</v>
      </c>
    </row>
    <row r="29" spans="1:10" x14ac:dyDescent="0.2">
      <c r="A29" s="42" t="s">
        <v>200</v>
      </c>
      <c r="B29" s="48">
        <f t="shared" si="8"/>
        <v>-3.0135575356548683E-14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7DD9-3389-FE4B-85D8-69F7139780ED}">
  <dimension ref="A2:M32"/>
  <sheetViews>
    <sheetView zoomScale="81" workbookViewId="0">
      <selection activeCell="H15" sqref="H15:H18"/>
    </sheetView>
  </sheetViews>
  <sheetFormatPr baseColWidth="10" defaultRowHeight="16" x14ac:dyDescent="0.2"/>
  <cols>
    <col min="2" max="2" width="22.5" customWidth="1"/>
  </cols>
  <sheetData>
    <row r="2" spans="1:13" x14ac:dyDescent="0.2">
      <c r="A2" s="42" t="s">
        <v>201</v>
      </c>
      <c r="B2" s="42" t="s">
        <v>187</v>
      </c>
      <c r="C2" s="51" t="s">
        <v>202</v>
      </c>
      <c r="D2" s="52" t="s">
        <v>203</v>
      </c>
      <c r="E2" s="42" t="s">
        <v>204</v>
      </c>
      <c r="F2" s="42" t="s">
        <v>205</v>
      </c>
      <c r="G2" s="42" t="s">
        <v>206</v>
      </c>
      <c r="H2" s="42" t="s">
        <v>207</v>
      </c>
      <c r="I2" s="42" t="s">
        <v>113</v>
      </c>
      <c r="J2" s="42" t="s">
        <v>247</v>
      </c>
      <c r="K2" s="42" t="s">
        <v>246</v>
      </c>
      <c r="L2" s="42" t="s">
        <v>245</v>
      </c>
      <c r="M2" s="42" t="s">
        <v>244</v>
      </c>
    </row>
    <row r="3" spans="1:13" x14ac:dyDescent="0.2">
      <c r="A3" s="21">
        <v>664.48400000000004</v>
      </c>
      <c r="B3" s="21" t="s">
        <v>138</v>
      </c>
      <c r="C3" s="50">
        <v>1</v>
      </c>
      <c r="D3" s="21">
        <v>664.48400000000004</v>
      </c>
      <c r="E3" s="21"/>
      <c r="F3" s="21"/>
      <c r="G3" s="21">
        <f>D3/AVERAGE($D$3:$D$6)</f>
        <v>0.98614430183717405</v>
      </c>
      <c r="H3" s="21"/>
      <c r="I3" s="21"/>
      <c r="J3" s="21">
        <f>ABS(D8-H8)</f>
        <v>159.73509739207168</v>
      </c>
      <c r="K3" s="21">
        <f>ABS((D8-H8)/D8)</f>
        <v>0.17640475911232248</v>
      </c>
      <c r="L3" s="21">
        <f>(D8-H8)^2</f>
        <v>25515.301338854624</v>
      </c>
      <c r="M3" s="21">
        <f>((D8-H8)/D8)^2</f>
        <v>3.1118639037476522E-2</v>
      </c>
    </row>
    <row r="4" spans="1:13" x14ac:dyDescent="0.2">
      <c r="A4" s="21">
        <v>746.29399999999998</v>
      </c>
      <c r="B4" s="21" t="s">
        <v>139</v>
      </c>
      <c r="C4" s="50">
        <v>2</v>
      </c>
      <c r="D4" s="21">
        <v>746.29399999999998</v>
      </c>
      <c r="E4" s="21"/>
      <c r="F4" s="21"/>
      <c r="G4" s="21">
        <f>D4/AVERAGE($D$3:$D$6)</f>
        <v>1.1075565033849903</v>
      </c>
      <c r="H4" s="21"/>
      <c r="I4" s="21"/>
      <c r="J4" s="21">
        <f t="shared" ref="J4:J9" si="0">ABS(D9-H9)</f>
        <v>256.65452263728537</v>
      </c>
      <c r="K4" s="21">
        <f t="shared" ref="K4:K9" si="1">ABS((D9-H9)/D9)</f>
        <v>0.32954082429843268</v>
      </c>
      <c r="L4" s="21">
        <f t="shared" ref="L4:L9" si="2">(D9-H9)^2</f>
        <v>65871.543990172824</v>
      </c>
      <c r="M4" s="21">
        <f t="shared" ref="M4:M9" si="3">((D9-H9)/D9)^2</f>
        <v>0.10859715487929048</v>
      </c>
    </row>
    <row r="5" spans="1:13" x14ac:dyDescent="0.2">
      <c r="A5" s="21">
        <v>654.52133333333336</v>
      </c>
      <c r="B5" s="21" t="s">
        <v>140</v>
      </c>
      <c r="C5" s="50">
        <v>3</v>
      </c>
      <c r="D5" s="21">
        <v>654.52133333333336</v>
      </c>
      <c r="E5" s="21"/>
      <c r="F5" s="21"/>
      <c r="G5" s="21">
        <f>D5/AVERAGE($D$3:$D$6)</f>
        <v>0.9713589541622315</v>
      </c>
      <c r="H5" s="21"/>
      <c r="I5" s="21"/>
      <c r="J5" s="21">
        <f t="shared" si="0"/>
        <v>334.91812505486109</v>
      </c>
      <c r="K5" s="21">
        <f t="shared" si="1"/>
        <v>0.46356583351961234</v>
      </c>
      <c r="L5" s="21">
        <f t="shared" si="2"/>
        <v>112170.15049026358</v>
      </c>
      <c r="M5" s="21">
        <f t="shared" si="3"/>
        <v>0.21489328200673294</v>
      </c>
    </row>
    <row r="6" spans="1:13" x14ac:dyDescent="0.2">
      <c r="A6" s="21">
        <v>629.98166666666668</v>
      </c>
      <c r="B6" s="21" t="s">
        <v>137</v>
      </c>
      <c r="C6" s="50">
        <v>4</v>
      </c>
      <c r="D6" s="21">
        <v>629.98166666666668</v>
      </c>
      <c r="E6" s="21"/>
      <c r="F6" s="21"/>
      <c r="G6" s="21">
        <f>D6/AVERAGE($D$3:$D$6)</f>
        <v>0.93494024061560432</v>
      </c>
      <c r="H6" s="21"/>
      <c r="I6" s="21"/>
      <c r="J6" s="21">
        <f t="shared" si="0"/>
        <v>172.84420258878174</v>
      </c>
      <c r="K6" s="21">
        <f t="shared" si="1"/>
        <v>0.17677412713380233</v>
      </c>
      <c r="L6" s="21">
        <f t="shared" si="2"/>
        <v>29875.118368551826</v>
      </c>
      <c r="M6" s="21">
        <f t="shared" si="3"/>
        <v>3.1249092023917711E-2</v>
      </c>
    </row>
    <row r="7" spans="1:13" x14ac:dyDescent="0.2">
      <c r="A7" s="21">
        <v>827.12733333333335</v>
      </c>
      <c r="B7" s="21" t="s">
        <v>138</v>
      </c>
      <c r="C7" s="50">
        <v>5</v>
      </c>
      <c r="D7" s="21">
        <v>827.12733333333335</v>
      </c>
      <c r="E7" s="21">
        <f>D7</f>
        <v>827.12733333333335</v>
      </c>
      <c r="F7" s="21">
        <f>AVERAGE(D7:D10)-AVERAGE(D3:D6)</f>
        <v>134.66416666666657</v>
      </c>
      <c r="G7" s="21">
        <f t="shared" ref="G7:G14" si="4">$E$20*D7/E7+(1-$E$20)*G3</f>
        <v>1</v>
      </c>
      <c r="H7" s="21"/>
      <c r="I7" s="21"/>
      <c r="J7" s="21">
        <f t="shared" si="0"/>
        <v>52.626783342841463</v>
      </c>
      <c r="K7" s="21">
        <f t="shared" si="1"/>
        <v>4.905706429746276E-2</v>
      </c>
      <c r="L7" s="21">
        <f t="shared" si="2"/>
        <v>2769.5783250143759</v>
      </c>
      <c r="M7" s="21">
        <f t="shared" si="3"/>
        <v>2.4065955574853956E-3</v>
      </c>
    </row>
    <row r="8" spans="1:13" x14ac:dyDescent="0.2">
      <c r="A8" s="21">
        <v>905.50333333333322</v>
      </c>
      <c r="B8" s="21" t="s">
        <v>139</v>
      </c>
      <c r="C8" s="50">
        <v>6</v>
      </c>
      <c r="D8" s="21">
        <v>905.50333333333322</v>
      </c>
      <c r="E8" s="21">
        <f t="shared" ref="E8:E14" si="5">$E$18*D8/G4+(1-$E$18)*(E7+F7)</f>
        <v>945.26376148391182</v>
      </c>
      <c r="F8" s="21">
        <f t="shared" ref="F8:F14" si="6">$E$19*(E8-E7)+(1-$E$19)*F7</f>
        <v>120.74709358358697</v>
      </c>
      <c r="G8" s="21">
        <f t="shared" si="4"/>
        <v>0.95793721311376501</v>
      </c>
      <c r="H8" s="21">
        <f>(E7+F7)*G4</f>
        <v>1065.2384307254049</v>
      </c>
      <c r="I8" s="21">
        <f>(D8-H8)^2</f>
        <v>25515.301338854624</v>
      </c>
      <c r="J8" s="21">
        <f t="shared" si="0"/>
        <v>12.957979273853425</v>
      </c>
      <c r="K8" s="21">
        <f t="shared" si="1"/>
        <v>1.4073567514806259E-2</v>
      </c>
      <c r="L8" s="21">
        <f t="shared" si="2"/>
        <v>167.90922686161494</v>
      </c>
      <c r="M8" s="21">
        <f t="shared" si="3"/>
        <v>1.9806530259381002E-4</v>
      </c>
    </row>
    <row r="9" spans="1:13" x14ac:dyDescent="0.2">
      <c r="A9" s="21">
        <v>778.82466666666653</v>
      </c>
      <c r="B9" s="21" t="s">
        <v>140</v>
      </c>
      <c r="C9" s="23">
        <v>7</v>
      </c>
      <c r="D9" s="21">
        <v>778.82466666666653</v>
      </c>
      <c r="E9" s="21">
        <f t="shared" si="5"/>
        <v>1035.7313935439843</v>
      </c>
      <c r="F9" s="21">
        <f t="shared" si="6"/>
        <v>95.250472946174526</v>
      </c>
      <c r="G9" s="21">
        <f t="shared" si="4"/>
        <v>0.75195622293705466</v>
      </c>
      <c r="H9" s="21">
        <f>(E8+F8)*G5</f>
        <v>1035.4791893039519</v>
      </c>
      <c r="I9" s="21">
        <f t="shared" ref="I9:I14" si="7">(D9-H9)^2</f>
        <v>65871.543990172824</v>
      </c>
      <c r="J9" s="21">
        <f t="shared" si="0"/>
        <v>52.262577811296751</v>
      </c>
      <c r="K9" s="21">
        <f t="shared" si="1"/>
        <v>5.9351748490118088E-2</v>
      </c>
      <c r="L9" s="21">
        <f t="shared" si="2"/>
        <v>2731.3770394818475</v>
      </c>
      <c r="M9" s="21">
        <f t="shared" si="3"/>
        <v>3.5226300488342345E-3</v>
      </c>
    </row>
    <row r="10" spans="1:13" x14ac:dyDescent="0.2">
      <c r="A10" s="21">
        <v>722.48233333333337</v>
      </c>
      <c r="B10" s="21" t="s">
        <v>137</v>
      </c>
      <c r="C10" s="23">
        <v>8</v>
      </c>
      <c r="D10" s="21">
        <v>722.48233333333337</v>
      </c>
      <c r="E10" s="21">
        <f t="shared" si="5"/>
        <v>1089.9299182524842</v>
      </c>
      <c r="F10" s="21">
        <f t="shared" si="6"/>
        <v>60.682951002964167</v>
      </c>
      <c r="G10" s="21">
        <f t="shared" si="4"/>
        <v>0.66287044812175633</v>
      </c>
      <c r="H10" s="21">
        <f t="shared" ref="H10:H13" si="8">(E9+F9)*G6</f>
        <v>1057.4004583881945</v>
      </c>
      <c r="I10" s="21">
        <f t="shared" si="7"/>
        <v>112170.15049026358</v>
      </c>
      <c r="J10" s="42">
        <f>SUM(J3:J9)</f>
        <v>1041.9992881009916</v>
      </c>
      <c r="K10" s="42">
        <f t="shared" ref="K10:M10" si="9">SUM(K3:K9)</f>
        <v>1.2687679243665568</v>
      </c>
      <c r="L10" s="42">
        <f t="shared" si="9"/>
        <v>239100.97877920073</v>
      </c>
      <c r="M10" s="42">
        <f t="shared" si="9"/>
        <v>0.39198545885633113</v>
      </c>
    </row>
    <row r="11" spans="1:13" x14ac:dyDescent="0.2">
      <c r="A11" s="21">
        <v>977.76866666666672</v>
      </c>
      <c r="B11" s="21" t="s">
        <v>138</v>
      </c>
      <c r="C11" s="23">
        <v>9</v>
      </c>
      <c r="D11" s="21">
        <v>977.76866666666672</v>
      </c>
      <c r="E11" s="21">
        <f t="shared" si="5"/>
        <v>1130.8051810425636</v>
      </c>
      <c r="F11" s="21">
        <f t="shared" si="6"/>
        <v>44.004017935549115</v>
      </c>
      <c r="G11" s="21">
        <f t="shared" si="4"/>
        <v>0.86466588857083015</v>
      </c>
      <c r="H11" s="21">
        <f t="shared" si="8"/>
        <v>1150.6128692554485</v>
      </c>
      <c r="I11" s="39">
        <f t="shared" si="7"/>
        <v>29875.118368551826</v>
      </c>
    </row>
    <row r="12" spans="1:13" x14ac:dyDescent="0.2">
      <c r="A12" s="21">
        <v>1072.7666666666667</v>
      </c>
      <c r="B12" s="21" t="s">
        <v>139</v>
      </c>
      <c r="C12" s="23">
        <v>10</v>
      </c>
      <c r="D12" s="21">
        <v>1072.7666666666667</v>
      </c>
      <c r="E12" s="21">
        <f t="shared" si="5"/>
        <v>1168.5134304084791</v>
      </c>
      <c r="F12" s="21">
        <f t="shared" si="6"/>
        <v>38.70270758310982</v>
      </c>
      <c r="G12" s="21">
        <f t="shared" si="4"/>
        <v>0.91806104983462433</v>
      </c>
      <c r="H12" s="21">
        <f>(E11+F11)*G8</f>
        <v>1125.3934500095081</v>
      </c>
      <c r="I12" s="39">
        <f t="shared" si="7"/>
        <v>2769.5783250143759</v>
      </c>
    </row>
    <row r="13" spans="1:13" x14ac:dyDescent="0.2">
      <c r="A13" s="21">
        <v>920.73166666666668</v>
      </c>
      <c r="B13" s="21" t="s">
        <v>140</v>
      </c>
      <c r="C13" s="23">
        <v>11</v>
      </c>
      <c r="D13" s="21">
        <v>920.73166666666668</v>
      </c>
      <c r="E13" s="21">
        <f t="shared" si="5"/>
        <v>1209.1909406225793</v>
      </c>
      <c r="F13" s="21">
        <f t="shared" si="6"/>
        <v>40.365577098706254</v>
      </c>
      <c r="G13" s="21">
        <f t="shared" si="4"/>
        <v>0.76144439702186917</v>
      </c>
      <c r="H13" s="21">
        <f t="shared" si="8"/>
        <v>907.77368739281326</v>
      </c>
      <c r="I13" s="39">
        <f t="shared" si="7"/>
        <v>167.90922686161494</v>
      </c>
    </row>
    <row r="14" spans="1:13" x14ac:dyDescent="0.2">
      <c r="A14" s="21">
        <v>880.55666666666673</v>
      </c>
      <c r="B14" s="21" t="s">
        <v>137</v>
      </c>
      <c r="C14" s="23">
        <v>12</v>
      </c>
      <c r="D14" s="21">
        <v>880.55666666666673</v>
      </c>
      <c r="E14" s="21">
        <f t="shared" si="5"/>
        <v>1258.5917878912612</v>
      </c>
      <c r="F14" s="21">
        <f t="shared" si="6"/>
        <v>47.973666684496862</v>
      </c>
      <c r="G14" s="21">
        <f t="shared" si="4"/>
        <v>0.69963643107986362</v>
      </c>
      <c r="H14" s="21">
        <f>(E13+F13)*G10</f>
        <v>828.29408885536998</v>
      </c>
      <c r="I14" s="39">
        <f t="shared" si="7"/>
        <v>2731.3770394818475</v>
      </c>
    </row>
    <row r="15" spans="1:13" x14ac:dyDescent="0.2">
      <c r="C15" s="24"/>
      <c r="D15" s="24"/>
      <c r="G15" s="62" t="s">
        <v>208</v>
      </c>
      <c r="H15" s="30">
        <f>(E14+1*F14)*G11</f>
        <v>1129.7425797566987</v>
      </c>
      <c r="I15" s="61">
        <f>SUM(I8:I14)</f>
        <v>239100.97877920073</v>
      </c>
    </row>
    <row r="16" spans="1:13" x14ac:dyDescent="0.2">
      <c r="A16" s="42" t="s">
        <v>213</v>
      </c>
      <c r="B16" s="21"/>
      <c r="C16" s="24"/>
      <c r="D16" s="42" t="s">
        <v>239</v>
      </c>
      <c r="E16" s="21">
        <f>SQRT(I15/7)</f>
        <v>184.81688960358292</v>
      </c>
      <c r="H16" s="30">
        <f>(E14+2*F14)*G11</f>
        <v>1171.2237728884497</v>
      </c>
    </row>
    <row r="17" spans="1:8" x14ac:dyDescent="0.2">
      <c r="A17" s="42" t="s">
        <v>214</v>
      </c>
      <c r="B17" s="49">
        <f>E16/1130</f>
        <v>0.16355476956069284</v>
      </c>
      <c r="C17" s="24"/>
      <c r="D17" s="42" t="s">
        <v>209</v>
      </c>
      <c r="E17" s="21">
        <f>SQRT(I15/19)</f>
        <v>112.17959725819381</v>
      </c>
      <c r="H17" s="30">
        <f>(E14+3*F14)*G11</f>
        <v>1212.704966020201</v>
      </c>
    </row>
    <row r="18" spans="1:8" x14ac:dyDescent="0.2">
      <c r="A18" s="42" t="s">
        <v>215</v>
      </c>
      <c r="B18" s="49">
        <f>E16/1171</f>
        <v>0.15782825756070276</v>
      </c>
      <c r="C18" s="24"/>
      <c r="D18" s="42" t="s">
        <v>210</v>
      </c>
      <c r="E18" s="21">
        <v>0.11459851077568234</v>
      </c>
      <c r="H18" s="30">
        <f>(E14+4*F14)*G11</f>
        <v>1254.1861591519526</v>
      </c>
    </row>
    <row r="19" spans="1:8" x14ac:dyDescent="0.2">
      <c r="A19" s="42" t="s">
        <v>216</v>
      </c>
      <c r="B19" s="49">
        <f>E16/1213</f>
        <v>0.15236347040691089</v>
      </c>
      <c r="C19" s="24"/>
      <c r="D19" s="42" t="s">
        <v>211</v>
      </c>
      <c r="E19" s="21">
        <v>0.84204339689502727</v>
      </c>
    </row>
    <row r="20" spans="1:8" x14ac:dyDescent="0.2">
      <c r="A20" s="42" t="s">
        <v>217</v>
      </c>
      <c r="B20" s="49">
        <f>E16/1254</f>
        <v>0.14738188963603105</v>
      </c>
      <c r="D20" s="42" t="s">
        <v>212</v>
      </c>
      <c r="E20" s="21">
        <v>0.99999999999999989</v>
      </c>
    </row>
    <row r="21" spans="1:8" x14ac:dyDescent="0.2">
      <c r="D21" s="42" t="s">
        <v>240</v>
      </c>
      <c r="E21" s="21">
        <f>AVERAGE(D3:D14)</f>
        <v>815.08686111111126</v>
      </c>
    </row>
    <row r="22" spans="1:8" x14ac:dyDescent="0.2">
      <c r="D22" s="42" t="s">
        <v>241</v>
      </c>
      <c r="E22" s="21">
        <f>_xlfn.STDEV.S(D3:D14)</f>
        <v>139.47333743153848</v>
      </c>
    </row>
    <row r="23" spans="1:8" x14ac:dyDescent="0.2">
      <c r="E23" s="29">
        <f>E22/E21</f>
        <v>0.17111469229354406</v>
      </c>
    </row>
    <row r="26" spans="1:8" x14ac:dyDescent="0.2">
      <c r="C26" s="24"/>
      <c r="D26" s="24"/>
    </row>
    <row r="27" spans="1:8" x14ac:dyDescent="0.2">
      <c r="C27" s="24"/>
      <c r="D27" s="24"/>
    </row>
    <row r="28" spans="1:8" x14ac:dyDescent="0.2">
      <c r="C28" s="24"/>
      <c r="D28" s="24"/>
    </row>
    <row r="29" spans="1:8" x14ac:dyDescent="0.2">
      <c r="C29" s="24"/>
      <c r="D29" s="24"/>
    </row>
    <row r="30" spans="1:8" x14ac:dyDescent="0.2">
      <c r="C30" s="24"/>
      <c r="D30" s="24"/>
    </row>
    <row r="31" spans="1:8" x14ac:dyDescent="0.2">
      <c r="C31" s="24"/>
      <c r="D31" s="24"/>
    </row>
    <row r="32" spans="1:8" x14ac:dyDescent="0.2">
      <c r="C32" s="24"/>
      <c r="D32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29DF-BAD0-B34B-8B09-47622553EB28}">
  <dimension ref="A1:N31"/>
  <sheetViews>
    <sheetView zoomScale="91" workbookViewId="0">
      <selection activeCell="G20" sqref="G20:G23"/>
    </sheetView>
  </sheetViews>
  <sheetFormatPr baseColWidth="10" defaultRowHeight="16" x14ac:dyDescent="0.2"/>
  <cols>
    <col min="7" max="7" width="13.33203125" bestFit="1" customWidth="1"/>
  </cols>
  <sheetData>
    <row r="1" spans="1:7" x14ac:dyDescent="0.2">
      <c r="A1" s="42" t="s">
        <v>187</v>
      </c>
      <c r="B1" s="42" t="s">
        <v>201</v>
      </c>
      <c r="C1" s="42" t="s">
        <v>265</v>
      </c>
      <c r="D1" s="42" t="s">
        <v>247</v>
      </c>
      <c r="E1" s="42" t="s">
        <v>246</v>
      </c>
      <c r="F1" s="42" t="s">
        <v>245</v>
      </c>
      <c r="G1" s="42" t="s">
        <v>244</v>
      </c>
    </row>
    <row r="2" spans="1:7" x14ac:dyDescent="0.2">
      <c r="A2" s="21" t="s">
        <v>138</v>
      </c>
      <c r="B2" s="21">
        <v>664.48400000000004</v>
      </c>
      <c r="C2" s="21">
        <f>C21+D21*1</f>
        <v>666.48433333333332</v>
      </c>
      <c r="D2" s="21">
        <f>ABS(B2-C2)</f>
        <v>2.0003333333332876</v>
      </c>
      <c r="E2" s="21">
        <f>ABS((B2-C2)/B2)</f>
        <v>3.0103559052336664E-3</v>
      </c>
      <c r="F2" s="21">
        <f>(B2-C2)^2</f>
        <v>4.0013334444442616</v>
      </c>
      <c r="G2" s="21">
        <f>((B2-C2)/B2)^2</f>
        <v>9.0622426761752067E-6</v>
      </c>
    </row>
    <row r="3" spans="1:7" x14ac:dyDescent="0.2">
      <c r="A3" s="21" t="s">
        <v>139</v>
      </c>
      <c r="B3" s="21">
        <v>746.29399999999998</v>
      </c>
      <c r="C3" s="21">
        <f t="shared" ref="C3:C4" si="0">C22+D22*1</f>
        <v>744.9516666666666</v>
      </c>
      <c r="D3" s="21">
        <f t="shared" ref="D3:D13" si="1">ABS(B3-C3)</f>
        <v>1.3423333333333858</v>
      </c>
      <c r="E3" s="21">
        <f t="shared" ref="E3:E13" si="2">ABS((B3-C3)/B3)</f>
        <v>1.7986655839835049E-3</v>
      </c>
      <c r="F3" s="21">
        <f t="shared" ref="F3:F13" si="3">(B3-C3)^2</f>
        <v>1.8018587777779185</v>
      </c>
      <c r="G3" s="21">
        <f t="shared" ref="G3:G13" si="4">((B3-C3)/B3)^2</f>
        <v>3.2351978830067225E-6</v>
      </c>
    </row>
    <row r="4" spans="1:7" x14ac:dyDescent="0.2">
      <c r="A4" s="21" t="s">
        <v>140</v>
      </c>
      <c r="B4" s="21">
        <v>654.52133333333336</v>
      </c>
      <c r="C4" s="21">
        <f t="shared" si="0"/>
        <v>651.58738888888888</v>
      </c>
      <c r="D4" s="21">
        <f t="shared" si="1"/>
        <v>2.933944444444478</v>
      </c>
      <c r="E4" s="21">
        <f t="shared" si="2"/>
        <v>4.4825803148425174E-3</v>
      </c>
      <c r="F4" s="21">
        <f t="shared" si="3"/>
        <v>8.6080300030866166</v>
      </c>
      <c r="G4" s="21">
        <f t="shared" si="4"/>
        <v>2.0093526279013643E-5</v>
      </c>
    </row>
    <row r="5" spans="1:7" x14ac:dyDescent="0.2">
      <c r="A5" s="21" t="s">
        <v>137</v>
      </c>
      <c r="B5" s="21">
        <v>629.98166666666668</v>
      </c>
      <c r="C5" s="21">
        <f>C20+D20*1</f>
        <v>619.0527222222222</v>
      </c>
      <c r="D5" s="21">
        <f t="shared" si="1"/>
        <v>10.928944444444483</v>
      </c>
      <c r="E5" s="21">
        <f t="shared" si="2"/>
        <v>1.7348035701215351E-2</v>
      </c>
      <c r="F5" s="21">
        <f t="shared" si="3"/>
        <v>119.44182666975392</v>
      </c>
      <c r="G5" s="21">
        <f t="shared" si="4"/>
        <v>3.0095434269064239E-4</v>
      </c>
    </row>
    <row r="6" spans="1:7" x14ac:dyDescent="0.2">
      <c r="A6" s="21" t="s">
        <v>138</v>
      </c>
      <c r="B6" s="21">
        <v>827.12733333333335</v>
      </c>
      <c r="C6" s="21">
        <f>C21+D21*2</f>
        <v>823.12666666666667</v>
      </c>
      <c r="D6" s="21">
        <f t="shared" si="1"/>
        <v>4.0006666666666888</v>
      </c>
      <c r="E6" s="21">
        <f t="shared" si="2"/>
        <v>4.836820771650663E-3</v>
      </c>
      <c r="F6" s="21">
        <f t="shared" si="3"/>
        <v>16.005333777777956</v>
      </c>
      <c r="G6" s="21">
        <f t="shared" si="4"/>
        <v>2.3394835177071313E-5</v>
      </c>
    </row>
    <row r="7" spans="1:7" x14ac:dyDescent="0.2">
      <c r="A7" s="21" t="s">
        <v>139</v>
      </c>
      <c r="B7" s="21">
        <v>905.50333333333322</v>
      </c>
      <c r="C7" s="21">
        <f t="shared" ref="C7:C8" si="5">C22+D22*2</f>
        <v>908.18799999999999</v>
      </c>
      <c r="D7" s="21">
        <f t="shared" si="1"/>
        <v>2.6846666666667716</v>
      </c>
      <c r="E7" s="21">
        <f t="shared" si="2"/>
        <v>2.9648335548186151E-3</v>
      </c>
      <c r="F7" s="21">
        <f t="shared" si="3"/>
        <v>7.2074351111116739</v>
      </c>
      <c r="G7" s="21">
        <f t="shared" si="4"/>
        <v>8.7902380077783865E-6</v>
      </c>
    </row>
    <row r="8" spans="1:7" x14ac:dyDescent="0.2">
      <c r="A8" s="21" t="s">
        <v>140</v>
      </c>
      <c r="B8" s="21">
        <v>778.82466666666653</v>
      </c>
      <c r="C8" s="21">
        <f t="shared" si="5"/>
        <v>784.6925555555556</v>
      </c>
      <c r="D8" s="21">
        <f t="shared" si="1"/>
        <v>5.8678888888890697</v>
      </c>
      <c r="E8" s="21">
        <f t="shared" si="2"/>
        <v>7.5342874205607301E-3</v>
      </c>
      <c r="F8" s="21">
        <f t="shared" si="3"/>
        <v>34.432120012347802</v>
      </c>
      <c r="G8" s="21">
        <f t="shared" si="4"/>
        <v>5.6765486935619657E-5</v>
      </c>
    </row>
    <row r="9" spans="1:7" x14ac:dyDescent="0.2">
      <c r="A9" s="21" t="s">
        <v>137</v>
      </c>
      <c r="B9" s="21">
        <v>722.48233333333337</v>
      </c>
      <c r="C9" s="21">
        <f>C20+D20*2</f>
        <v>744.34022222222222</v>
      </c>
      <c r="D9" s="21">
        <f t="shared" si="1"/>
        <v>21.857888888888851</v>
      </c>
      <c r="E9" s="21">
        <f t="shared" si="2"/>
        <v>3.0253873181981635E-2</v>
      </c>
      <c r="F9" s="21">
        <f t="shared" si="3"/>
        <v>477.76730667901069</v>
      </c>
      <c r="G9" s="21">
        <f t="shared" si="4"/>
        <v>9.1529684251142761E-4</v>
      </c>
    </row>
    <row r="10" spans="1:7" x14ac:dyDescent="0.2">
      <c r="A10" s="21" t="s">
        <v>138</v>
      </c>
      <c r="B10" s="21">
        <v>977.76866666666672</v>
      </c>
      <c r="C10" s="21">
        <f>C21+D21*3</f>
        <v>979.76900000000001</v>
      </c>
      <c r="D10" s="21">
        <f t="shared" si="1"/>
        <v>2.0003333333332876</v>
      </c>
      <c r="E10" s="21">
        <f t="shared" si="2"/>
        <v>2.0458145178170509E-3</v>
      </c>
      <c r="F10" s="21">
        <f t="shared" si="3"/>
        <v>4.0013334444442616</v>
      </c>
      <c r="G10" s="21">
        <f t="shared" si="4"/>
        <v>4.1853570413110128E-6</v>
      </c>
    </row>
    <row r="11" spans="1:7" x14ac:dyDescent="0.2">
      <c r="A11" s="21" t="s">
        <v>139</v>
      </c>
      <c r="B11" s="21">
        <v>1072.7666666666667</v>
      </c>
      <c r="C11" s="21">
        <f t="shared" ref="C11:C12" si="6">C22+D22*3</f>
        <v>1071.4243333333334</v>
      </c>
      <c r="D11" s="21">
        <f t="shared" si="1"/>
        <v>1.3423333333332721</v>
      </c>
      <c r="E11" s="21">
        <f t="shared" si="2"/>
        <v>1.2512817325916839E-3</v>
      </c>
      <c r="F11" s="21">
        <f t="shared" si="3"/>
        <v>1.8018587777776134</v>
      </c>
      <c r="G11" s="21">
        <f t="shared" si="4"/>
        <v>1.5657059743176462E-6</v>
      </c>
    </row>
    <row r="12" spans="1:7" x14ac:dyDescent="0.2">
      <c r="A12" s="21" t="s">
        <v>140</v>
      </c>
      <c r="B12" s="21">
        <v>920.73166666666668</v>
      </c>
      <c r="C12" s="21">
        <f t="shared" si="6"/>
        <v>917.79772222222221</v>
      </c>
      <c r="D12" s="21">
        <f t="shared" si="1"/>
        <v>2.933944444444478</v>
      </c>
      <c r="E12" s="21">
        <f t="shared" si="2"/>
        <v>3.1865358286918316E-3</v>
      </c>
      <c r="F12" s="21">
        <f t="shared" si="3"/>
        <v>8.6080300030866166</v>
      </c>
      <c r="G12" s="21">
        <f t="shared" si="4"/>
        <v>1.0154010587536739E-5</v>
      </c>
    </row>
    <row r="13" spans="1:7" x14ac:dyDescent="0.2">
      <c r="A13" s="21" t="s">
        <v>137</v>
      </c>
      <c r="B13" s="21">
        <v>880.55666666666673</v>
      </c>
      <c r="C13" s="21">
        <f>C20+D20*3</f>
        <v>869.62772222222225</v>
      </c>
      <c r="D13" s="21">
        <f t="shared" si="1"/>
        <v>10.928944444444483</v>
      </c>
      <c r="E13" s="21">
        <f t="shared" si="2"/>
        <v>1.2411403897282191E-2</v>
      </c>
      <c r="F13" s="21">
        <f t="shared" si="3"/>
        <v>119.44182666975392</v>
      </c>
      <c r="G13" s="21">
        <f t="shared" si="4"/>
        <v>1.5404294670147157E-4</v>
      </c>
    </row>
    <row r="14" spans="1:7" x14ac:dyDescent="0.2">
      <c r="D14" s="42">
        <f>SUM(D2:D13)</f>
        <v>68.822222222222535</v>
      </c>
      <c r="E14" s="42">
        <f t="shared" ref="E14:G14" si="7">SUM(E2:E13)</f>
        <v>9.1124488410669446E-2</v>
      </c>
      <c r="F14" s="42">
        <f t="shared" si="7"/>
        <v>803.11829337037329</v>
      </c>
      <c r="G14" s="42">
        <f t="shared" si="7"/>
        <v>1.5075407324653721E-3</v>
      </c>
    </row>
    <row r="19" spans="1:14" ht="68" x14ac:dyDescent="0.2">
      <c r="A19" s="53" t="s">
        <v>218</v>
      </c>
      <c r="B19" s="53" t="s">
        <v>219</v>
      </c>
      <c r="C19" s="53" t="s">
        <v>220</v>
      </c>
      <c r="D19" s="53" t="s">
        <v>221</v>
      </c>
      <c r="E19" s="53" t="s">
        <v>222</v>
      </c>
      <c r="F19" s="53" t="s">
        <v>120</v>
      </c>
      <c r="G19" s="53" t="s">
        <v>237</v>
      </c>
      <c r="H19" s="53" t="s">
        <v>238</v>
      </c>
      <c r="I19" s="53" t="s">
        <v>223</v>
      </c>
    </row>
    <row r="20" spans="1:14" x14ac:dyDescent="0.2">
      <c r="A20" s="21" t="s">
        <v>137</v>
      </c>
      <c r="B20" s="21" t="s">
        <v>235</v>
      </c>
      <c r="C20" s="21">
        <f>E27</f>
        <v>493.76522222222218</v>
      </c>
      <c r="D20" s="21">
        <f>D27</f>
        <v>125.28750000000001</v>
      </c>
      <c r="E20" s="21">
        <f>D29</f>
        <v>0.97768177135412715</v>
      </c>
      <c r="F20" s="21">
        <f>E29</f>
        <v>26.770337316113881</v>
      </c>
      <c r="G20" s="30">
        <f>C20+D20*4</f>
        <v>994.91522222222216</v>
      </c>
      <c r="H20" s="21">
        <f>F20*SQRT((4-$B$30)^2/$B$30+1/3+1)</f>
        <v>48.875725400192934</v>
      </c>
      <c r="I20" s="49">
        <f>H20/G20</f>
        <v>4.9125517741124836E-2</v>
      </c>
    </row>
    <row r="21" spans="1:14" x14ac:dyDescent="0.2">
      <c r="A21" s="21" t="s">
        <v>138</v>
      </c>
      <c r="B21" s="21" t="s">
        <v>233</v>
      </c>
      <c r="C21" s="21">
        <f>H27</f>
        <v>509.84199999999993</v>
      </c>
      <c r="D21" s="21">
        <f>G27</f>
        <v>156.64233333333337</v>
      </c>
      <c r="E21" s="21">
        <f>G29</f>
        <v>0.99951101527129615</v>
      </c>
      <c r="F21" s="21">
        <f>H29</f>
        <v>4.8997959821472818</v>
      </c>
      <c r="G21" s="30">
        <f>C21+D21*4</f>
        <v>1136.4113333333335</v>
      </c>
      <c r="H21" s="21">
        <f t="shared" ref="H21:H23" si="8">F21*SQRT((4-$B$30)^2/$B$30+1/3+1)</f>
        <v>8.9457626219841551</v>
      </c>
      <c r="I21" s="49">
        <f t="shared" ref="I21:I23" si="9">H21/G21</f>
        <v>7.8719406957552529E-3</v>
      </c>
    </row>
    <row r="22" spans="1:14" x14ac:dyDescent="0.2">
      <c r="A22" s="21" t="s">
        <v>139</v>
      </c>
      <c r="B22" s="21" t="s">
        <v>234</v>
      </c>
      <c r="C22" s="21">
        <f>K27</f>
        <v>581.71533333333332</v>
      </c>
      <c r="D22" s="21">
        <f>J27</f>
        <v>163.23633333333333</v>
      </c>
      <c r="E22" s="21">
        <f>J29</f>
        <v>0.99979717557747871</v>
      </c>
      <c r="F22" s="21">
        <f>K29</f>
        <v>3.2880317313960177</v>
      </c>
      <c r="G22" s="30">
        <f>C22+D22*4</f>
        <v>1234.6606666666667</v>
      </c>
      <c r="H22" s="21">
        <f t="shared" si="8"/>
        <v>6.0030971635945543</v>
      </c>
      <c r="I22" s="49">
        <f t="shared" si="9"/>
        <v>4.8621433610594386E-3</v>
      </c>
    </row>
    <row r="23" spans="1:14" x14ac:dyDescent="0.2">
      <c r="A23" s="21" t="s">
        <v>140</v>
      </c>
      <c r="B23" s="21" t="s">
        <v>224</v>
      </c>
      <c r="C23" s="21">
        <f>N27</f>
        <v>518.48222222222216</v>
      </c>
      <c r="D23" s="21">
        <f>M27</f>
        <v>133.10516666666669</v>
      </c>
      <c r="E23" s="21">
        <f>M29</f>
        <v>0.99854453208025118</v>
      </c>
      <c r="F23" s="21">
        <f>N29</f>
        <v>7.1866668225624721</v>
      </c>
      <c r="G23" s="30">
        <f>C23+D23*4</f>
        <v>1050.9028888888888</v>
      </c>
      <c r="H23" s="21">
        <f t="shared" si="8"/>
        <v>13.120998439971478</v>
      </c>
      <c r="I23" s="49">
        <f t="shared" si="9"/>
        <v>1.2485452822233845E-2</v>
      </c>
    </row>
    <row r="25" spans="1:14" x14ac:dyDescent="0.2">
      <c r="A25" s="42" t="s">
        <v>225</v>
      </c>
      <c r="B25" s="42" t="s">
        <v>226</v>
      </c>
      <c r="C25" s="68" t="s">
        <v>227</v>
      </c>
      <c r="D25" s="68"/>
      <c r="E25" s="68"/>
      <c r="F25" s="68" t="s">
        <v>228</v>
      </c>
      <c r="G25" s="68"/>
      <c r="H25" s="68"/>
      <c r="I25" s="68" t="s">
        <v>229</v>
      </c>
      <c r="J25" s="68"/>
      <c r="K25" s="68"/>
      <c r="L25" s="68" t="s">
        <v>230</v>
      </c>
      <c r="M25" s="68"/>
      <c r="N25" s="68"/>
    </row>
    <row r="26" spans="1:14" x14ac:dyDescent="0.2">
      <c r="A26" s="21">
        <v>1</v>
      </c>
      <c r="B26" s="21">
        <f>(A26-$B$30)^2</f>
        <v>1</v>
      </c>
      <c r="C26" s="42" t="s">
        <v>231</v>
      </c>
      <c r="D26" s="68" t="s">
        <v>232</v>
      </c>
      <c r="E26" s="68"/>
      <c r="F26" s="42" t="s">
        <v>231</v>
      </c>
      <c r="G26" s="68" t="s">
        <v>232</v>
      </c>
      <c r="H26" s="68"/>
      <c r="I26" s="42" t="s">
        <v>231</v>
      </c>
      <c r="J26" s="68" t="s">
        <v>232</v>
      </c>
      <c r="K26" s="68"/>
      <c r="L26" s="42" t="s">
        <v>231</v>
      </c>
      <c r="M26" s="68" t="s">
        <v>232</v>
      </c>
      <c r="N26" s="68"/>
    </row>
    <row r="27" spans="1:14" x14ac:dyDescent="0.2">
      <c r="A27" s="21">
        <v>2</v>
      </c>
      <c r="B27" s="21">
        <f t="shared" ref="B27:B28" si="10">(A27-$B$30)^2</f>
        <v>0</v>
      </c>
      <c r="C27" s="21">
        <f>B5</f>
        <v>629.98166666666668</v>
      </c>
      <c r="D27" s="21" cm="1">
        <f t="array" ref="D27:E31">LINEST(C27:C29,A26:A28,1,1)</f>
        <v>125.28750000000001</v>
      </c>
      <c r="E27" s="21">
        <v>493.76522222222218</v>
      </c>
      <c r="F27" s="21">
        <f>B2</f>
        <v>664.48400000000004</v>
      </c>
      <c r="G27" s="21" cm="1">
        <f t="array" ref="G27:H31">LINEST(F27:F29,A26:A28,1,1)</f>
        <v>156.64233333333337</v>
      </c>
      <c r="H27" s="21">
        <v>509.84199999999993</v>
      </c>
      <c r="I27" s="21">
        <f>B3</f>
        <v>746.29399999999998</v>
      </c>
      <c r="J27" s="21" cm="1">
        <f t="array" ref="J27:K31">LINEST(I27:I29,A26:A28,1,1)</f>
        <v>163.23633333333333</v>
      </c>
      <c r="K27" s="21">
        <v>581.71533333333332</v>
      </c>
      <c r="L27" s="21">
        <f>B4</f>
        <v>654.52133333333336</v>
      </c>
      <c r="M27" s="21" cm="1">
        <f t="array" ref="M27:N31">LINEST(L27:L29,A26:A28,1,1)</f>
        <v>133.10516666666669</v>
      </c>
      <c r="N27" s="21">
        <v>518.48222222222216</v>
      </c>
    </row>
    <row r="28" spans="1:14" x14ac:dyDescent="0.2">
      <c r="A28" s="21">
        <v>3</v>
      </c>
      <c r="B28" s="21">
        <f t="shared" si="10"/>
        <v>1</v>
      </c>
      <c r="C28" s="21">
        <f>B9</f>
        <v>722.48233333333337</v>
      </c>
      <c r="D28" s="21">
        <v>18.929487050875405</v>
      </c>
      <c r="E28" s="21">
        <v>40.892365710197609</v>
      </c>
      <c r="F28" s="21">
        <f>B6</f>
        <v>827.12733333333335</v>
      </c>
      <c r="G28" s="21">
        <v>3.4646789654069421</v>
      </c>
      <c r="H28" s="21">
        <v>7.4845619926768032</v>
      </c>
      <c r="I28" s="21">
        <f>B7</f>
        <v>905.50333333333322</v>
      </c>
      <c r="J28" s="21">
        <v>2.3249895340266686</v>
      </c>
      <c r="K28" s="21">
        <v>5.0225514321796529</v>
      </c>
      <c r="L28" s="21">
        <f>B8</f>
        <v>778.82466666666653</v>
      </c>
      <c r="M28" s="21">
        <v>5.0817408443623018</v>
      </c>
      <c r="N28" s="21">
        <v>10.977814902940098</v>
      </c>
    </row>
    <row r="29" spans="1:14" x14ac:dyDescent="0.2">
      <c r="A29" s="21"/>
      <c r="B29" s="21"/>
      <c r="C29" s="21">
        <f>B13</f>
        <v>880.55666666666673</v>
      </c>
      <c r="D29" s="21">
        <v>0.97768177135412715</v>
      </c>
      <c r="E29" s="21">
        <v>26.770337316113881</v>
      </c>
      <c r="F29" s="21">
        <f>B10</f>
        <v>977.76866666666672</v>
      </c>
      <c r="G29" s="21">
        <v>0.99951101527129615</v>
      </c>
      <c r="H29" s="21">
        <v>4.8997959821472818</v>
      </c>
      <c r="I29" s="21">
        <f>B11</f>
        <v>1072.7666666666667</v>
      </c>
      <c r="J29" s="21">
        <v>0.99979717557747871</v>
      </c>
      <c r="K29" s="21">
        <v>3.2880317313960177</v>
      </c>
      <c r="L29" s="21">
        <f>B12</f>
        <v>920.73166666666668</v>
      </c>
      <c r="M29" s="21">
        <v>0.99854453208025118</v>
      </c>
      <c r="N29" s="21">
        <v>7.1866668225624721</v>
      </c>
    </row>
    <row r="30" spans="1:14" x14ac:dyDescent="0.2">
      <c r="A30" s="42" t="s">
        <v>236</v>
      </c>
      <c r="B30" s="21">
        <f>AVERAGE(A26:A28)</f>
        <v>2</v>
      </c>
      <c r="D30" s="25">
        <v>43.80642329941027</v>
      </c>
      <c r="E30" s="25">
        <v>1</v>
      </c>
      <c r="G30" s="25">
        <v>2044.0536413495436</v>
      </c>
      <c r="H30" s="25">
        <v>1</v>
      </c>
      <c r="J30" s="25">
        <v>4929.3727212392942</v>
      </c>
      <c r="K30" s="25">
        <v>1</v>
      </c>
      <c r="M30" s="25">
        <v>686.06426739560197</v>
      </c>
      <c r="N30" s="25">
        <v>1</v>
      </c>
    </row>
    <row r="31" spans="1:14" x14ac:dyDescent="0.2">
      <c r="D31" s="25">
        <v>31393.915312500008</v>
      </c>
      <c r="E31" s="25">
        <v>716.65096001851941</v>
      </c>
      <c r="G31" s="25">
        <v>49073.64118422223</v>
      </c>
      <c r="H31" s="25">
        <v>24.008000666666646</v>
      </c>
      <c r="J31" s="25">
        <v>53292.201040222215</v>
      </c>
      <c r="K31" s="25">
        <v>10.811152666667093</v>
      </c>
      <c r="M31" s="25">
        <v>35433.970786722217</v>
      </c>
      <c r="N31" s="25">
        <v>51.648180018520179</v>
      </c>
    </row>
  </sheetData>
  <mergeCells count="8">
    <mergeCell ref="C25:E25"/>
    <mergeCell ref="F25:H25"/>
    <mergeCell ref="I25:K25"/>
    <mergeCell ref="L25:N25"/>
    <mergeCell ref="D26:E26"/>
    <mergeCell ref="G26:H26"/>
    <mergeCell ref="J26:K26"/>
    <mergeCell ref="M26:N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C7E5-01E3-AF4D-9A0B-377F9FF70BDA}">
  <dimension ref="A1:I7"/>
  <sheetViews>
    <sheetView workbookViewId="0">
      <selection activeCell="A16" sqref="A16"/>
    </sheetView>
  </sheetViews>
  <sheetFormatPr baseColWidth="10" defaultRowHeight="16" x14ac:dyDescent="0.2"/>
  <sheetData>
    <row r="1" spans="1:9" x14ac:dyDescent="0.2">
      <c r="A1" s="65" t="s">
        <v>254</v>
      </c>
      <c r="B1" s="65"/>
      <c r="C1" s="65"/>
      <c r="D1" s="65"/>
      <c r="F1" s="65" t="s">
        <v>255</v>
      </c>
      <c r="G1" s="65"/>
      <c r="H1" s="65"/>
      <c r="I1" s="65"/>
    </row>
    <row r="2" spans="1:9" x14ac:dyDescent="0.2">
      <c r="A2" s="69" t="s">
        <v>218</v>
      </c>
      <c r="B2" s="70" t="s">
        <v>266</v>
      </c>
      <c r="C2" s="70" t="s">
        <v>267</v>
      </c>
      <c r="D2" s="70" t="s">
        <v>268</v>
      </c>
      <c r="F2" s="69" t="s">
        <v>260</v>
      </c>
      <c r="G2" s="71" t="s">
        <v>266</v>
      </c>
      <c r="H2" s="70" t="s">
        <v>267</v>
      </c>
      <c r="I2" s="70" t="s">
        <v>268</v>
      </c>
    </row>
    <row r="3" spans="1:9" x14ac:dyDescent="0.2">
      <c r="A3" s="69"/>
      <c r="B3" s="70"/>
      <c r="C3" s="70"/>
      <c r="D3" s="70"/>
      <c r="F3" s="69"/>
      <c r="G3" s="72"/>
      <c r="H3" s="73"/>
      <c r="I3" s="73"/>
    </row>
    <row r="4" spans="1:9" x14ac:dyDescent="0.2">
      <c r="A4" s="21" t="s">
        <v>138</v>
      </c>
      <c r="B4" s="21">
        <v>1051.7358135198137</v>
      </c>
      <c r="C4" s="21">
        <v>1129.7425797566987</v>
      </c>
      <c r="D4" s="21">
        <v>1136.4113333333335</v>
      </c>
      <c r="F4" s="21" t="s">
        <v>247</v>
      </c>
      <c r="G4" s="21">
        <v>814.98963508834083</v>
      </c>
      <c r="H4" s="21">
        <v>1041.9992881009916</v>
      </c>
      <c r="I4" s="21">
        <v>68.822222222222535</v>
      </c>
    </row>
    <row r="5" spans="1:9" x14ac:dyDescent="0.2">
      <c r="A5" s="21" t="s">
        <v>139</v>
      </c>
      <c r="B5" s="21">
        <v>1136.7971468531468</v>
      </c>
      <c r="C5" s="21">
        <v>1171.2237728884497</v>
      </c>
      <c r="D5" s="21">
        <v>1234.6606666666667</v>
      </c>
      <c r="F5" s="21" t="s">
        <v>246</v>
      </c>
      <c r="G5" s="27">
        <v>0.99987678627952237</v>
      </c>
      <c r="H5" s="27">
        <v>1.2687679243665568</v>
      </c>
      <c r="I5" s="27">
        <v>9.1124488410669446E-2</v>
      </c>
    </row>
    <row r="6" spans="1:9" x14ac:dyDescent="0.2">
      <c r="A6" s="21" t="s">
        <v>140</v>
      </c>
      <c r="B6" s="21">
        <v>1013.3017024087025</v>
      </c>
      <c r="C6" s="21">
        <v>1212.704966020201</v>
      </c>
      <c r="D6" s="21">
        <v>1050.9028888888888</v>
      </c>
      <c r="F6" s="21" t="s">
        <v>245</v>
      </c>
      <c r="G6" s="21">
        <v>825.85716339881446</v>
      </c>
      <c r="H6" s="21">
        <v>239100.97877920073</v>
      </c>
      <c r="I6" s="21">
        <v>803.11829337037329</v>
      </c>
    </row>
    <row r="7" spans="1:9" x14ac:dyDescent="0.2">
      <c r="A7" s="21" t="s">
        <v>137</v>
      </c>
      <c r="B7" s="21">
        <v>1086.560222999223</v>
      </c>
      <c r="C7" s="21">
        <v>1254.1861591519526</v>
      </c>
      <c r="D7" s="21">
        <v>994.91522222222216</v>
      </c>
      <c r="F7" s="21" t="s">
        <v>244</v>
      </c>
      <c r="G7" s="27">
        <v>0.99987678924714607</v>
      </c>
      <c r="H7" s="27">
        <v>0.39198545885633113</v>
      </c>
      <c r="I7" s="27">
        <v>1.5075407324653721E-3</v>
      </c>
    </row>
  </sheetData>
  <mergeCells count="10">
    <mergeCell ref="A1:D1"/>
    <mergeCell ref="F1:I1"/>
    <mergeCell ref="A2:A3"/>
    <mergeCell ref="B2:B3"/>
    <mergeCell ref="C2:C3"/>
    <mergeCell ref="D2:D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dane1</vt:lpstr>
      <vt:lpstr>m. analityczny</vt:lpstr>
      <vt:lpstr>Raport wyników 1</vt:lpstr>
      <vt:lpstr>m. tredu pełzającego</vt:lpstr>
      <vt:lpstr>m. holta</vt:lpstr>
      <vt:lpstr>PORÓWNANIE</vt:lpstr>
      <vt:lpstr>dane2</vt:lpstr>
      <vt:lpstr>m. wskaźników</vt:lpstr>
      <vt:lpstr>m.wintersa</vt:lpstr>
      <vt:lpstr>model trendów jednoimiennych</vt:lpstr>
      <vt:lpstr>porównanie prognoz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Then (nt311103)</dc:creator>
  <cp:lastModifiedBy>Natalia Then (nt311103)</cp:lastModifiedBy>
  <dcterms:created xsi:type="dcterms:W3CDTF">2025-04-19T10:10:16Z</dcterms:created>
  <dcterms:modified xsi:type="dcterms:W3CDTF">2025-05-19T21:08:23Z</dcterms:modified>
</cp:coreProperties>
</file>